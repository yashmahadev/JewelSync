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Glemzee\"/>
    </mc:Choice>
  </mc:AlternateContent>
  <bookViews>
    <workbookView minimized="1" xWindow="0" yWindow="0" windowWidth="25200" windowHeight="11985" activeTab="1"/>
  </bookViews>
  <sheets>
    <sheet name="Sheet1" sheetId="1" r:id="rId1"/>
    <sheet name="Sheet2" sheetId="2" r:id="rId2"/>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W50" i="2" l="1"/>
  <c r="BV50" i="2"/>
  <c r="BU50" i="2"/>
  <c r="BW49" i="2"/>
  <c r="BV49" i="2"/>
  <c r="BU49" i="2"/>
  <c r="BW48" i="2"/>
  <c r="BV48" i="2"/>
  <c r="BU48" i="2"/>
  <c r="BW47" i="2"/>
  <c r="BV47" i="2"/>
  <c r="BU47" i="2"/>
  <c r="BW46" i="2"/>
  <c r="BV46" i="2"/>
  <c r="BU46" i="2"/>
  <c r="BW45" i="2"/>
  <c r="BV45" i="2"/>
  <c r="BU45" i="2"/>
  <c r="BW44" i="2"/>
  <c r="BV44" i="2"/>
  <c r="BU44" i="2"/>
  <c r="BW43" i="2"/>
  <c r="BV43" i="2"/>
  <c r="BU43" i="2"/>
  <c r="BW42" i="2"/>
  <c r="BV42" i="2"/>
  <c r="BU42" i="2"/>
  <c r="BW41" i="2"/>
  <c r="BV41" i="2"/>
  <c r="BU41" i="2"/>
  <c r="BW40" i="2"/>
  <c r="BV40" i="2"/>
  <c r="BU40" i="2"/>
  <c r="BW39" i="2"/>
  <c r="BV39" i="2"/>
  <c r="BU39" i="2"/>
  <c r="BW38" i="2"/>
  <c r="BV38" i="2"/>
  <c r="BU38" i="2"/>
  <c r="BW37" i="2"/>
  <c r="BV37" i="2"/>
  <c r="BU37" i="2"/>
  <c r="BW36" i="2"/>
  <c r="BV36" i="2"/>
  <c r="BU36" i="2"/>
  <c r="BW35" i="2"/>
  <c r="BV35" i="2"/>
  <c r="BU35" i="2"/>
  <c r="BW34" i="2"/>
  <c r="BV34" i="2"/>
  <c r="BU34" i="2"/>
  <c r="BW33" i="2"/>
  <c r="BV33" i="2"/>
  <c r="BU33" i="2"/>
  <c r="BW32" i="2"/>
  <c r="BV32" i="2"/>
  <c r="BU32" i="2"/>
  <c r="BW31" i="2"/>
  <c r="BV31" i="2"/>
  <c r="BU31" i="2"/>
  <c r="BW18" i="2"/>
  <c r="BV18" i="2"/>
  <c r="BU18" i="2"/>
  <c r="BW17" i="2"/>
  <c r="BV17" i="2"/>
  <c r="BU17" i="2"/>
  <c r="BW16" i="2"/>
  <c r="BV16" i="2"/>
  <c r="BU16" i="2"/>
  <c r="BW15" i="2"/>
  <c r="BV15" i="2"/>
  <c r="BU15" i="2"/>
  <c r="BW14" i="2"/>
  <c r="BV14" i="2"/>
  <c r="BU14" i="2"/>
  <c r="BW13" i="2"/>
  <c r="BV13" i="2"/>
  <c r="BU13" i="2"/>
  <c r="BW12" i="2"/>
  <c r="BV12" i="2"/>
  <c r="BU12" i="2"/>
  <c r="O12" i="2" l="1"/>
  <c r="R12" i="2" s="1"/>
  <c r="U12" i="2" s="1"/>
  <c r="X12" i="2" s="1"/>
  <c r="AA12" i="2" s="1"/>
  <c r="AD12" i="2" s="1"/>
  <c r="N12" i="2"/>
  <c r="Q12" i="2" s="1"/>
  <c r="T12" i="2" s="1"/>
  <c r="W12" i="2" s="1"/>
  <c r="Z12" i="2" s="1"/>
  <c r="AC12" i="2" s="1"/>
  <c r="M12" i="2"/>
  <c r="P12" i="2" s="1"/>
  <c r="S12" i="2" s="1"/>
  <c r="V12" i="2" s="1"/>
  <c r="Y12" i="2" s="1"/>
  <c r="AB12" i="2" s="1"/>
  <c r="O50" i="2"/>
  <c r="R50" i="2" s="1"/>
  <c r="U50" i="2" s="1"/>
  <c r="X50" i="2" s="1"/>
  <c r="AA50" i="2" s="1"/>
  <c r="AD50" i="2" s="1"/>
  <c r="N50" i="2"/>
  <c r="Q50" i="2" s="1"/>
  <c r="T50" i="2" s="1"/>
  <c r="W50" i="2" s="1"/>
  <c r="Z50" i="2" s="1"/>
  <c r="AC50" i="2" s="1"/>
  <c r="M50" i="2"/>
  <c r="P50" i="2" s="1"/>
  <c r="S50" i="2" s="1"/>
  <c r="V50" i="2" s="1"/>
  <c r="Y50" i="2" s="1"/>
  <c r="AB50" i="2" s="1"/>
  <c r="O49" i="2"/>
  <c r="R49" i="2" s="1"/>
  <c r="U49" i="2" s="1"/>
  <c r="X49" i="2" s="1"/>
  <c r="AA49" i="2" s="1"/>
  <c r="AD49" i="2" s="1"/>
  <c r="N49" i="2"/>
  <c r="Q49" i="2" s="1"/>
  <c r="T49" i="2" s="1"/>
  <c r="W49" i="2" s="1"/>
  <c r="Z49" i="2" s="1"/>
  <c r="AC49" i="2" s="1"/>
  <c r="M49" i="2"/>
  <c r="P49" i="2" s="1"/>
  <c r="S49" i="2" s="1"/>
  <c r="V49" i="2" s="1"/>
  <c r="Y49" i="2" s="1"/>
  <c r="AB49" i="2" s="1"/>
  <c r="O48" i="2"/>
  <c r="R48" i="2" s="1"/>
  <c r="U48" i="2" s="1"/>
  <c r="X48" i="2" s="1"/>
  <c r="AA48" i="2" s="1"/>
  <c r="AD48" i="2" s="1"/>
  <c r="N48" i="2"/>
  <c r="Q48" i="2" s="1"/>
  <c r="T48" i="2" s="1"/>
  <c r="W48" i="2" s="1"/>
  <c r="Z48" i="2" s="1"/>
  <c r="AC48" i="2" s="1"/>
  <c r="M48" i="2"/>
  <c r="P48" i="2" s="1"/>
  <c r="S48" i="2" s="1"/>
  <c r="V48" i="2" s="1"/>
  <c r="Y48" i="2" s="1"/>
  <c r="AB48" i="2" s="1"/>
  <c r="Q47" i="2"/>
  <c r="T47" i="2" s="1"/>
  <c r="W47" i="2" s="1"/>
  <c r="Z47" i="2" s="1"/>
  <c r="AC47" i="2" s="1"/>
  <c r="O47" i="2"/>
  <c r="R47" i="2" s="1"/>
  <c r="U47" i="2" s="1"/>
  <c r="X47" i="2" s="1"/>
  <c r="AA47" i="2" s="1"/>
  <c r="AD47" i="2" s="1"/>
  <c r="N47" i="2"/>
  <c r="M47" i="2"/>
  <c r="P47" i="2" s="1"/>
  <c r="S47" i="2" s="1"/>
  <c r="V47" i="2" s="1"/>
  <c r="Y47" i="2" s="1"/>
  <c r="AB47" i="2" s="1"/>
  <c r="Q46" i="2"/>
  <c r="T46" i="2" s="1"/>
  <c r="W46" i="2" s="1"/>
  <c r="Z46" i="2" s="1"/>
  <c r="AC46" i="2" s="1"/>
  <c r="O46" i="2"/>
  <c r="R46" i="2" s="1"/>
  <c r="U46" i="2" s="1"/>
  <c r="X46" i="2" s="1"/>
  <c r="AA46" i="2" s="1"/>
  <c r="AD46" i="2" s="1"/>
  <c r="N46" i="2"/>
  <c r="M46" i="2"/>
  <c r="P46" i="2" s="1"/>
  <c r="S46" i="2" s="1"/>
  <c r="V46" i="2" s="1"/>
  <c r="Y46" i="2" s="1"/>
  <c r="AB46" i="2" s="1"/>
  <c r="O45" i="2"/>
  <c r="R45" i="2" s="1"/>
  <c r="U45" i="2" s="1"/>
  <c r="X45" i="2" s="1"/>
  <c r="AA45" i="2" s="1"/>
  <c r="AD45" i="2" s="1"/>
  <c r="N45" i="2"/>
  <c r="Q45" i="2" s="1"/>
  <c r="T45" i="2" s="1"/>
  <c r="W45" i="2" s="1"/>
  <c r="Z45" i="2" s="1"/>
  <c r="AC45" i="2" s="1"/>
  <c r="M45" i="2"/>
  <c r="P45" i="2" s="1"/>
  <c r="S45" i="2" s="1"/>
  <c r="V45" i="2" s="1"/>
  <c r="Y45" i="2" s="1"/>
  <c r="AB45" i="2" s="1"/>
  <c r="W44" i="2"/>
  <c r="Z44" i="2" s="1"/>
  <c r="AC44" i="2" s="1"/>
  <c r="Q44" i="2"/>
  <c r="T44" i="2" s="1"/>
  <c r="O44" i="2"/>
  <c r="R44" i="2" s="1"/>
  <c r="U44" i="2" s="1"/>
  <c r="X44" i="2" s="1"/>
  <c r="AA44" i="2" s="1"/>
  <c r="AD44" i="2" s="1"/>
  <c r="N44" i="2"/>
  <c r="M44" i="2"/>
  <c r="P44" i="2" s="1"/>
  <c r="S44" i="2" s="1"/>
  <c r="V44" i="2" s="1"/>
  <c r="Y44" i="2" s="1"/>
  <c r="AB44" i="2" s="1"/>
  <c r="U43" i="2"/>
  <c r="X43" i="2" s="1"/>
  <c r="AA43" i="2" s="1"/>
  <c r="AD43" i="2" s="1"/>
  <c r="Q43" i="2"/>
  <c r="T43" i="2" s="1"/>
  <c r="W43" i="2" s="1"/>
  <c r="Z43" i="2" s="1"/>
  <c r="AC43" i="2" s="1"/>
  <c r="O43" i="2"/>
  <c r="R43" i="2" s="1"/>
  <c r="N43" i="2"/>
  <c r="M43" i="2"/>
  <c r="P43" i="2" s="1"/>
  <c r="S43" i="2" s="1"/>
  <c r="V43" i="2" s="1"/>
  <c r="Y43" i="2" s="1"/>
  <c r="AB43" i="2" s="1"/>
  <c r="Q42" i="2"/>
  <c r="T42" i="2" s="1"/>
  <c r="W42" i="2" s="1"/>
  <c r="Z42" i="2" s="1"/>
  <c r="AC42" i="2" s="1"/>
  <c r="O42" i="2"/>
  <c r="R42" i="2" s="1"/>
  <c r="U42" i="2" s="1"/>
  <c r="X42" i="2" s="1"/>
  <c r="AA42" i="2" s="1"/>
  <c r="AD42" i="2" s="1"/>
  <c r="N42" i="2"/>
  <c r="M42" i="2"/>
  <c r="P42" i="2" s="1"/>
  <c r="S42" i="2" s="1"/>
  <c r="V42" i="2" s="1"/>
  <c r="Y42" i="2" s="1"/>
  <c r="AB42" i="2" s="1"/>
  <c r="O41" i="2"/>
  <c r="R41" i="2" s="1"/>
  <c r="U41" i="2" s="1"/>
  <c r="X41" i="2" s="1"/>
  <c r="AA41" i="2" s="1"/>
  <c r="AD41" i="2" s="1"/>
  <c r="N41" i="2"/>
  <c r="Q41" i="2" s="1"/>
  <c r="T41" i="2" s="1"/>
  <c r="W41" i="2" s="1"/>
  <c r="Z41" i="2" s="1"/>
  <c r="AC41" i="2" s="1"/>
  <c r="M41" i="2"/>
  <c r="P41" i="2" s="1"/>
  <c r="S41" i="2" s="1"/>
  <c r="V41" i="2" s="1"/>
  <c r="Y41" i="2" s="1"/>
  <c r="AB41" i="2" s="1"/>
  <c r="W40" i="2"/>
  <c r="Z40" i="2" s="1"/>
  <c r="AC40" i="2" s="1"/>
  <c r="Q40" i="2"/>
  <c r="T40" i="2" s="1"/>
  <c r="O40" i="2"/>
  <c r="R40" i="2" s="1"/>
  <c r="U40" i="2" s="1"/>
  <c r="X40" i="2" s="1"/>
  <c r="AA40" i="2" s="1"/>
  <c r="AD40" i="2" s="1"/>
  <c r="N40" i="2"/>
  <c r="M40" i="2"/>
  <c r="P40" i="2" s="1"/>
  <c r="S40" i="2" s="1"/>
  <c r="V40" i="2" s="1"/>
  <c r="Y40" i="2" s="1"/>
  <c r="AB40" i="2" s="1"/>
  <c r="U39" i="2"/>
  <c r="X39" i="2" s="1"/>
  <c r="AA39" i="2" s="1"/>
  <c r="AD39" i="2" s="1"/>
  <c r="Q39" i="2"/>
  <c r="T39" i="2" s="1"/>
  <c r="W39" i="2" s="1"/>
  <c r="Z39" i="2" s="1"/>
  <c r="AC39" i="2" s="1"/>
  <c r="O39" i="2"/>
  <c r="R39" i="2" s="1"/>
  <c r="N39" i="2"/>
  <c r="M39" i="2"/>
  <c r="P39" i="2" s="1"/>
  <c r="S39" i="2" s="1"/>
  <c r="V39" i="2" s="1"/>
  <c r="Y39" i="2" s="1"/>
  <c r="AB39" i="2" s="1"/>
  <c r="Q38" i="2"/>
  <c r="T38" i="2" s="1"/>
  <c r="W38" i="2" s="1"/>
  <c r="Z38" i="2" s="1"/>
  <c r="AC38" i="2" s="1"/>
  <c r="O38" i="2"/>
  <c r="R38" i="2" s="1"/>
  <c r="U38" i="2" s="1"/>
  <c r="X38" i="2" s="1"/>
  <c r="AA38" i="2" s="1"/>
  <c r="AD38" i="2" s="1"/>
  <c r="N38" i="2"/>
  <c r="M38" i="2"/>
  <c r="P38" i="2" s="1"/>
  <c r="S38" i="2" s="1"/>
  <c r="V38" i="2" s="1"/>
  <c r="Y38" i="2" s="1"/>
  <c r="AB38" i="2" s="1"/>
  <c r="O37" i="2"/>
  <c r="R37" i="2" s="1"/>
  <c r="U37" i="2" s="1"/>
  <c r="X37" i="2" s="1"/>
  <c r="AA37" i="2" s="1"/>
  <c r="AD37" i="2" s="1"/>
  <c r="N37" i="2"/>
  <c r="Q37" i="2" s="1"/>
  <c r="T37" i="2" s="1"/>
  <c r="W37" i="2" s="1"/>
  <c r="Z37" i="2" s="1"/>
  <c r="AC37" i="2" s="1"/>
  <c r="M37" i="2"/>
  <c r="P37" i="2" s="1"/>
  <c r="S37" i="2" s="1"/>
  <c r="V37" i="2" s="1"/>
  <c r="Y37" i="2" s="1"/>
  <c r="AB37" i="2" s="1"/>
  <c r="W36" i="2"/>
  <c r="Z36" i="2" s="1"/>
  <c r="AC36" i="2" s="1"/>
  <c r="Q36" i="2"/>
  <c r="T36" i="2" s="1"/>
  <c r="O36" i="2"/>
  <c r="R36" i="2" s="1"/>
  <c r="U36" i="2" s="1"/>
  <c r="X36" i="2" s="1"/>
  <c r="AA36" i="2" s="1"/>
  <c r="AD36" i="2" s="1"/>
  <c r="N36" i="2"/>
  <c r="M36" i="2"/>
  <c r="P36" i="2" s="1"/>
  <c r="S36" i="2" s="1"/>
  <c r="V36" i="2" s="1"/>
  <c r="Y36" i="2" s="1"/>
  <c r="AB36" i="2" s="1"/>
  <c r="U35" i="2"/>
  <c r="X35" i="2" s="1"/>
  <c r="AA35" i="2" s="1"/>
  <c r="AD35" i="2" s="1"/>
  <c r="Q35" i="2"/>
  <c r="T35" i="2" s="1"/>
  <c r="W35" i="2" s="1"/>
  <c r="Z35" i="2" s="1"/>
  <c r="AC35" i="2" s="1"/>
  <c r="O35" i="2"/>
  <c r="R35" i="2" s="1"/>
  <c r="N35" i="2"/>
  <c r="M35" i="2"/>
  <c r="P35" i="2" s="1"/>
  <c r="S35" i="2" s="1"/>
  <c r="V35" i="2" s="1"/>
  <c r="Y35" i="2" s="1"/>
  <c r="AB35" i="2" s="1"/>
  <c r="Q34" i="2"/>
  <c r="T34" i="2" s="1"/>
  <c r="W34" i="2" s="1"/>
  <c r="Z34" i="2" s="1"/>
  <c r="AC34" i="2" s="1"/>
  <c r="O34" i="2"/>
  <c r="R34" i="2" s="1"/>
  <c r="U34" i="2" s="1"/>
  <c r="X34" i="2" s="1"/>
  <c r="AA34" i="2" s="1"/>
  <c r="AD34" i="2" s="1"/>
  <c r="N34" i="2"/>
  <c r="M34" i="2"/>
  <c r="P34" i="2" s="1"/>
  <c r="S34" i="2" s="1"/>
  <c r="V34" i="2" s="1"/>
  <c r="Y34" i="2" s="1"/>
  <c r="AB34" i="2" s="1"/>
  <c r="O33" i="2"/>
  <c r="R33" i="2" s="1"/>
  <c r="U33" i="2" s="1"/>
  <c r="X33" i="2" s="1"/>
  <c r="AA33" i="2" s="1"/>
  <c r="AD33" i="2" s="1"/>
  <c r="N33" i="2"/>
  <c r="Q33" i="2" s="1"/>
  <c r="T33" i="2" s="1"/>
  <c r="W33" i="2" s="1"/>
  <c r="Z33" i="2" s="1"/>
  <c r="AC33" i="2" s="1"/>
  <c r="M33" i="2"/>
  <c r="P33" i="2" s="1"/>
  <c r="S33" i="2" s="1"/>
  <c r="V33" i="2" s="1"/>
  <c r="Y33" i="2" s="1"/>
  <c r="AB33" i="2" s="1"/>
  <c r="W32" i="2"/>
  <c r="Z32" i="2" s="1"/>
  <c r="AC32" i="2" s="1"/>
  <c r="O32" i="2"/>
  <c r="R32" i="2" s="1"/>
  <c r="U32" i="2" s="1"/>
  <c r="X32" i="2" s="1"/>
  <c r="AA32" i="2" s="1"/>
  <c r="AD32" i="2" s="1"/>
  <c r="N32" i="2"/>
  <c r="Q32" i="2" s="1"/>
  <c r="T32" i="2" s="1"/>
  <c r="M32" i="2"/>
  <c r="P32" i="2" s="1"/>
  <c r="S32" i="2" s="1"/>
  <c r="V32" i="2" s="1"/>
  <c r="Y32" i="2" s="1"/>
  <c r="AB32" i="2" s="1"/>
  <c r="U31" i="2"/>
  <c r="X31" i="2" s="1"/>
  <c r="AA31" i="2" s="1"/>
  <c r="AD31" i="2" s="1"/>
  <c r="Q31" i="2"/>
  <c r="T31" i="2" s="1"/>
  <c r="W31" i="2" s="1"/>
  <c r="Z31" i="2" s="1"/>
  <c r="AC31" i="2" s="1"/>
  <c r="O31" i="2"/>
  <c r="R31" i="2" s="1"/>
  <c r="N31" i="2"/>
  <c r="M31" i="2"/>
  <c r="P31" i="2" s="1"/>
  <c r="S31" i="2" s="1"/>
  <c r="V31" i="2" s="1"/>
  <c r="Y31" i="2" s="1"/>
  <c r="AB31" i="2" s="1"/>
  <c r="R16" i="2"/>
  <c r="U16" i="2" s="1"/>
  <c r="X16" i="2" s="1"/>
  <c r="AA16" i="2" s="1"/>
  <c r="AD16" i="2" s="1"/>
  <c r="P16" i="2"/>
  <c r="S16" i="2" s="1"/>
  <c r="V16" i="2" s="1"/>
  <c r="Y16" i="2" s="1"/>
  <c r="AB16" i="2" s="1"/>
  <c r="R15" i="2"/>
  <c r="U15" i="2" s="1"/>
  <c r="X15" i="2" s="1"/>
  <c r="AA15" i="2" s="1"/>
  <c r="AD15" i="2" s="1"/>
  <c r="R14" i="2"/>
  <c r="U14" i="2" s="1"/>
  <c r="X14" i="2" s="1"/>
  <c r="AA14" i="2" s="1"/>
  <c r="AD14" i="2" s="1"/>
  <c r="P14" i="2"/>
  <c r="S14" i="2" s="1"/>
  <c r="V14" i="2" s="1"/>
  <c r="Y14" i="2" s="1"/>
  <c r="AB14" i="2" s="1"/>
  <c r="Q13" i="2"/>
  <c r="T13" i="2" s="1"/>
  <c r="W13" i="2" s="1"/>
  <c r="Z13" i="2" s="1"/>
  <c r="AC13" i="2" s="1"/>
  <c r="O18" i="2"/>
  <c r="R18" i="2" s="1"/>
  <c r="U18" i="2" s="1"/>
  <c r="X18" i="2" s="1"/>
  <c r="AA18" i="2" s="1"/>
  <c r="AD18" i="2" s="1"/>
  <c r="N18" i="2"/>
  <c r="Q18" i="2" s="1"/>
  <c r="T18" i="2" s="1"/>
  <c r="W18" i="2" s="1"/>
  <c r="Z18" i="2" s="1"/>
  <c r="AC18" i="2" s="1"/>
  <c r="M18" i="2"/>
  <c r="P18" i="2" s="1"/>
  <c r="S18" i="2" s="1"/>
  <c r="V18" i="2" s="1"/>
  <c r="Y18" i="2" s="1"/>
  <c r="AB18" i="2" s="1"/>
  <c r="O17" i="2"/>
  <c r="R17" i="2" s="1"/>
  <c r="U17" i="2" s="1"/>
  <c r="X17" i="2" s="1"/>
  <c r="AA17" i="2" s="1"/>
  <c r="AD17" i="2" s="1"/>
  <c r="N17" i="2"/>
  <c r="Q17" i="2" s="1"/>
  <c r="T17" i="2" s="1"/>
  <c r="W17" i="2" s="1"/>
  <c r="Z17" i="2" s="1"/>
  <c r="AC17" i="2" s="1"/>
  <c r="M17" i="2"/>
  <c r="P17" i="2" s="1"/>
  <c r="S17" i="2" s="1"/>
  <c r="V17" i="2" s="1"/>
  <c r="Y17" i="2" s="1"/>
  <c r="AB17" i="2" s="1"/>
  <c r="O16" i="2"/>
  <c r="N16" i="2"/>
  <c r="Q16" i="2" s="1"/>
  <c r="T16" i="2" s="1"/>
  <c r="W16" i="2" s="1"/>
  <c r="Z16" i="2" s="1"/>
  <c r="AC16" i="2" s="1"/>
  <c r="M16" i="2"/>
  <c r="O15" i="2"/>
  <c r="N15" i="2"/>
  <c r="Q15" i="2" s="1"/>
  <c r="T15" i="2" s="1"/>
  <c r="W15" i="2" s="1"/>
  <c r="Z15" i="2" s="1"/>
  <c r="AC15" i="2" s="1"/>
  <c r="M15" i="2"/>
  <c r="P15" i="2" s="1"/>
  <c r="S15" i="2" s="1"/>
  <c r="V15" i="2" s="1"/>
  <c r="Y15" i="2" s="1"/>
  <c r="AB15" i="2" s="1"/>
  <c r="O14" i="2"/>
  <c r="N14" i="2"/>
  <c r="Q14" i="2" s="1"/>
  <c r="T14" i="2" s="1"/>
  <c r="W14" i="2" s="1"/>
  <c r="Z14" i="2" s="1"/>
  <c r="AC14" i="2" s="1"/>
  <c r="M14" i="2"/>
  <c r="O13" i="2"/>
  <c r="R13" i="2" s="1"/>
  <c r="U13" i="2" s="1"/>
  <c r="X13" i="2" s="1"/>
  <c r="AA13" i="2" s="1"/>
  <c r="AD13" i="2" s="1"/>
  <c r="N13" i="2"/>
  <c r="M13" i="2"/>
  <c r="P13" i="2" s="1"/>
  <c r="S13" i="2" s="1"/>
  <c r="V13" i="2" s="1"/>
  <c r="Y13" i="2" s="1"/>
  <c r="AB13" i="2" s="1"/>
  <c r="AJ50" i="2"/>
  <c r="AI50" i="2"/>
  <c r="AH50" i="2"/>
  <c r="AJ49" i="2"/>
  <c r="AI49" i="2"/>
  <c r="AH49" i="2"/>
  <c r="AJ48" i="2"/>
  <c r="AI48" i="2"/>
  <c r="AH48" i="2"/>
  <c r="AJ47" i="2"/>
  <c r="AI47" i="2"/>
  <c r="BY47" i="2" s="1"/>
  <c r="AH47" i="2"/>
  <c r="AJ46" i="2"/>
  <c r="AI46" i="2"/>
  <c r="AH46" i="2"/>
  <c r="AJ45" i="2"/>
  <c r="AI45" i="2"/>
  <c r="AL45" i="2" s="1"/>
  <c r="AH45" i="2"/>
  <c r="AJ44" i="2"/>
  <c r="AI44" i="2"/>
  <c r="AH44" i="2"/>
  <c r="AJ43" i="2"/>
  <c r="AI43" i="2"/>
  <c r="BY43" i="2" s="1"/>
  <c r="AH43" i="2"/>
  <c r="AJ42" i="2"/>
  <c r="AI42" i="2"/>
  <c r="AH42" i="2"/>
  <c r="AL41" i="2"/>
  <c r="AJ41" i="2"/>
  <c r="AI41" i="2"/>
  <c r="BY41" i="2" s="1"/>
  <c r="AH41" i="2"/>
  <c r="AJ40" i="2"/>
  <c r="AI40" i="2"/>
  <c r="AH40" i="2"/>
  <c r="AL39" i="2"/>
  <c r="AJ39" i="2"/>
  <c r="AI39" i="2"/>
  <c r="AH39" i="2"/>
  <c r="AJ38" i="2"/>
  <c r="AI38" i="2"/>
  <c r="AH38" i="2"/>
  <c r="AL37" i="2"/>
  <c r="AJ37" i="2"/>
  <c r="AI37" i="2"/>
  <c r="AH37" i="2"/>
  <c r="AJ36" i="2"/>
  <c r="AI36" i="2"/>
  <c r="AH36" i="2"/>
  <c r="AJ35" i="2"/>
  <c r="AI35" i="2"/>
  <c r="BY35" i="2" s="1"/>
  <c r="AH35" i="2"/>
  <c r="AJ34" i="2"/>
  <c r="AI34" i="2"/>
  <c r="AH34" i="2"/>
  <c r="AL33" i="2"/>
  <c r="AJ33" i="2"/>
  <c r="AI33" i="2"/>
  <c r="BY33" i="2" s="1"/>
  <c r="AH33" i="2"/>
  <c r="AJ32" i="2"/>
  <c r="AI32" i="2"/>
  <c r="AH32" i="2"/>
  <c r="AJ31" i="2"/>
  <c r="AI31" i="2"/>
  <c r="BY31" i="2" s="1"/>
  <c r="AH31" i="2"/>
  <c r="AM18" i="2"/>
  <c r="AK18" i="2"/>
  <c r="AN18" i="2" s="1"/>
  <c r="AL17" i="2"/>
  <c r="AO17" i="2" s="1"/>
  <c r="AM16" i="2"/>
  <c r="AP16" i="2" s="1"/>
  <c r="AK16" i="2"/>
  <c r="AL15" i="2"/>
  <c r="AM14" i="2"/>
  <c r="AP14" i="2" s="1"/>
  <c r="AK14" i="2"/>
  <c r="AN14" i="2" s="1"/>
  <c r="AL13" i="2"/>
  <c r="AJ18" i="2"/>
  <c r="BZ18" i="2" s="1"/>
  <c r="AI18" i="2"/>
  <c r="AL18" i="2" s="1"/>
  <c r="AH18" i="2"/>
  <c r="BX18" i="2" s="1"/>
  <c r="AJ17" i="2"/>
  <c r="AM17" i="2" s="1"/>
  <c r="AI17" i="2"/>
  <c r="BY17" i="2" s="1"/>
  <c r="AH17" i="2"/>
  <c r="AJ16" i="2"/>
  <c r="BZ16" i="2" s="1"/>
  <c r="AI16" i="2"/>
  <c r="AL16" i="2" s="1"/>
  <c r="AH16" i="2"/>
  <c r="BX16" i="2" s="1"/>
  <c r="AJ15" i="2"/>
  <c r="AM15" i="2" s="1"/>
  <c r="AI15" i="2"/>
  <c r="BY15" i="2" s="1"/>
  <c r="AH15" i="2"/>
  <c r="AK15" i="2" s="1"/>
  <c r="AJ14" i="2"/>
  <c r="BZ14" i="2" s="1"/>
  <c r="AI14" i="2"/>
  <c r="AH14" i="2"/>
  <c r="BX14" i="2" s="1"/>
  <c r="AJ13" i="2"/>
  <c r="AM13" i="2" s="1"/>
  <c r="AI13" i="2"/>
  <c r="BY13" i="2" s="1"/>
  <c r="AH13" i="2"/>
  <c r="AK13" i="2" s="1"/>
  <c r="AJ12" i="2"/>
  <c r="BZ12" i="2" s="1"/>
  <c r="AI12" i="2"/>
  <c r="BY12" i="2" s="1"/>
  <c r="AH12" i="2"/>
  <c r="BX12" i="2" s="1"/>
  <c r="C53" i="2"/>
  <c r="C52" i="2"/>
  <c r="C51" i="2"/>
  <c r="C50" i="2"/>
  <c r="C49" i="2"/>
  <c r="C48" i="2"/>
  <c r="C47" i="2"/>
  <c r="C46" i="2"/>
  <c r="C45" i="2"/>
  <c r="C44" i="2"/>
  <c r="C43" i="2"/>
  <c r="C42" i="2"/>
  <c r="C41" i="2"/>
  <c r="C40" i="2"/>
  <c r="C39" i="2"/>
  <c r="C38" i="2"/>
  <c r="C37" i="2"/>
  <c r="C36" i="2"/>
  <c r="C35" i="2"/>
  <c r="C34" i="2"/>
  <c r="C33" i="2"/>
  <c r="AZ33" i="2" s="1"/>
  <c r="C32" i="2"/>
  <c r="BE32" i="2" s="1"/>
  <c r="C31" i="2"/>
  <c r="BA31" i="2" s="1"/>
  <c r="C30" i="2"/>
  <c r="C29" i="2"/>
  <c r="C28" i="2"/>
  <c r="C27" i="2"/>
  <c r="C26" i="2"/>
  <c r="C25" i="2"/>
  <c r="C24" i="2"/>
  <c r="C23" i="2"/>
  <c r="C22" i="2"/>
  <c r="C21" i="2"/>
  <c r="C20" i="2"/>
  <c r="C19" i="2"/>
  <c r="C18" i="2"/>
  <c r="BE18" i="2" s="1"/>
  <c r="C17" i="2"/>
  <c r="BA17" i="2" s="1"/>
  <c r="C16" i="2"/>
  <c r="BA16" i="2" s="1"/>
  <c r="C15" i="2"/>
  <c r="BA15" i="2" s="1"/>
  <c r="C14" i="2"/>
  <c r="BA14" i="2" s="1"/>
  <c r="C13" i="2"/>
  <c r="BA13" i="2" s="1"/>
  <c r="C12" i="2"/>
  <c r="BA12" i="2" s="1"/>
  <c r="C11" i="2"/>
  <c r="C10" i="2"/>
  <c r="C9" i="2"/>
  <c r="C8" i="2"/>
  <c r="C7" i="2"/>
  <c r="C6" i="2"/>
  <c r="C5" i="2"/>
  <c r="C4" i="2"/>
  <c r="BC32" i="2" l="1"/>
  <c r="BC16" i="2"/>
  <c r="BE14" i="2"/>
  <c r="CW14" i="2" s="1"/>
  <c r="DR14" i="2" s="1"/>
  <c r="BE50" i="2"/>
  <c r="BC36" i="2"/>
  <c r="CU36" i="2" s="1"/>
  <c r="BB12" i="2"/>
  <c r="CT12" i="2" s="1"/>
  <c r="DO12" i="2" s="1"/>
  <c r="BA18" i="2"/>
  <c r="CS18" i="2" s="1"/>
  <c r="DN18" i="2" s="1"/>
  <c r="BC34" i="2"/>
  <c r="BD34" i="2"/>
  <c r="CR33" i="2"/>
  <c r="DM33" i="2" s="1"/>
  <c r="CA13" i="2"/>
  <c r="AN13" i="2"/>
  <c r="BF13" i="2"/>
  <c r="CC15" i="2"/>
  <c r="BH15" i="2"/>
  <c r="AP15" i="2"/>
  <c r="CB18" i="2"/>
  <c r="BG18" i="2"/>
  <c r="AO18" i="2"/>
  <c r="CF14" i="2"/>
  <c r="BK14" i="2"/>
  <c r="AS14" i="2"/>
  <c r="CE17" i="2"/>
  <c r="BJ17" i="2"/>
  <c r="AR17" i="2"/>
  <c r="CD18" i="2"/>
  <c r="BI18" i="2"/>
  <c r="AQ18" i="2"/>
  <c r="CC13" i="2"/>
  <c r="AP13" i="2"/>
  <c r="BH13" i="2"/>
  <c r="CA15" i="2"/>
  <c r="AN15" i="2"/>
  <c r="BF15" i="2"/>
  <c r="CB16" i="2"/>
  <c r="BG16" i="2"/>
  <c r="AO16" i="2"/>
  <c r="CC17" i="2"/>
  <c r="BH17" i="2"/>
  <c r="AP17" i="2"/>
  <c r="AO45" i="2"/>
  <c r="CB45" i="2"/>
  <c r="BG45" i="2"/>
  <c r="CS16" i="2"/>
  <c r="DN16" i="2" s="1"/>
  <c r="CD14" i="2"/>
  <c r="AQ14" i="2"/>
  <c r="BI14" i="2"/>
  <c r="CF16" i="2"/>
  <c r="AS16" i="2"/>
  <c r="BK16" i="2"/>
  <c r="CS13" i="2"/>
  <c r="DN13" i="2" s="1"/>
  <c r="AZ37" i="2"/>
  <c r="BB37" i="2"/>
  <c r="BA37" i="2"/>
  <c r="AZ45" i="2"/>
  <c r="BB45" i="2"/>
  <c r="BA45" i="2"/>
  <c r="BY14" i="2"/>
  <c r="BD14" i="2"/>
  <c r="BX17" i="2"/>
  <c r="BC17" i="2"/>
  <c r="CB13" i="2"/>
  <c r="BG13" i="2"/>
  <c r="CA16" i="2"/>
  <c r="BF16" i="2"/>
  <c r="CC18" i="2"/>
  <c r="BH18" i="2"/>
  <c r="AL31" i="2"/>
  <c r="AM33" i="2"/>
  <c r="BZ33" i="2"/>
  <c r="BE33" i="2"/>
  <c r="AM35" i="2"/>
  <c r="BZ35" i="2"/>
  <c r="BE35" i="2"/>
  <c r="AM38" i="2"/>
  <c r="BZ38" i="2"/>
  <c r="BE38" i="2"/>
  <c r="AL40" i="2"/>
  <c r="BY40" i="2"/>
  <c r="BD40" i="2"/>
  <c r="AK42" i="2"/>
  <c r="BX42" i="2"/>
  <c r="BC42" i="2"/>
  <c r="AL44" i="2"/>
  <c r="BY44" i="2"/>
  <c r="BD44" i="2"/>
  <c r="AL46" i="2"/>
  <c r="BY46" i="2"/>
  <c r="BD46" i="2"/>
  <c r="AM47" i="2"/>
  <c r="BZ47" i="2"/>
  <c r="BE47" i="2"/>
  <c r="CS14" i="2"/>
  <c r="DN14" i="2" s="1"/>
  <c r="BD15" i="2"/>
  <c r="BB17" i="2"/>
  <c r="AZ31" i="2"/>
  <c r="CU32" i="2"/>
  <c r="BB14" i="2"/>
  <c r="AZ14" i="2"/>
  <c r="BB18" i="2"/>
  <c r="AZ18" i="2"/>
  <c r="BB34" i="2"/>
  <c r="BA34" i="2"/>
  <c r="AZ34" i="2"/>
  <c r="BB38" i="2"/>
  <c r="BA38" i="2"/>
  <c r="AZ38" i="2"/>
  <c r="BB42" i="2"/>
  <c r="BA42" i="2"/>
  <c r="AZ42" i="2"/>
  <c r="BB46" i="2"/>
  <c r="BA46" i="2"/>
  <c r="AZ46" i="2"/>
  <c r="BB50" i="2"/>
  <c r="BA50" i="2"/>
  <c r="AZ50" i="2"/>
  <c r="AM34" i="2"/>
  <c r="BZ34" i="2"/>
  <c r="BE34" i="2"/>
  <c r="AO37" i="2"/>
  <c r="CB37" i="2"/>
  <c r="BG37" i="2"/>
  <c r="AO39" i="2"/>
  <c r="CB39" i="2"/>
  <c r="BG39" i="2"/>
  <c r="AM41" i="2"/>
  <c r="BZ41" i="2"/>
  <c r="BE41" i="2"/>
  <c r="BD42" i="2"/>
  <c r="AM43" i="2"/>
  <c r="BZ43" i="2"/>
  <c r="BE43" i="2"/>
  <c r="AK48" i="2"/>
  <c r="BX48" i="2"/>
  <c r="BC48" i="2"/>
  <c r="BY49" i="2"/>
  <c r="BD49" i="2"/>
  <c r="AL50" i="2"/>
  <c r="BY50" i="2"/>
  <c r="BD50" i="2"/>
  <c r="AZ13" i="2"/>
  <c r="BC14" i="2"/>
  <c r="BD17" i="2"/>
  <c r="BB31" i="2"/>
  <c r="CS15" i="2"/>
  <c r="DN15" i="2" s="1"/>
  <c r="BB35" i="2"/>
  <c r="BA35" i="2"/>
  <c r="BD35" i="2"/>
  <c r="AZ35" i="2"/>
  <c r="BB43" i="2"/>
  <c r="BA43" i="2"/>
  <c r="AZ43" i="2"/>
  <c r="BZ13" i="2"/>
  <c r="BE13" i="2"/>
  <c r="BY16" i="2"/>
  <c r="BD16" i="2"/>
  <c r="BZ17" i="2"/>
  <c r="BE17" i="2"/>
  <c r="CA14" i="2"/>
  <c r="BF14" i="2"/>
  <c r="CC16" i="2"/>
  <c r="BH16" i="2"/>
  <c r="AK33" i="2"/>
  <c r="BX33" i="2"/>
  <c r="BC33" i="2"/>
  <c r="AK35" i="2"/>
  <c r="BX35" i="2"/>
  <c r="BC35" i="2"/>
  <c r="AK38" i="2"/>
  <c r="BX38" i="2"/>
  <c r="BC38" i="2"/>
  <c r="AM42" i="2"/>
  <c r="BZ42" i="2"/>
  <c r="BE42" i="2"/>
  <c r="CU16" i="2"/>
  <c r="DP16" i="2" s="1"/>
  <c r="CS31" i="2"/>
  <c r="DN31" i="2" s="1"/>
  <c r="BB39" i="2"/>
  <c r="BA39" i="2"/>
  <c r="AZ39" i="2"/>
  <c r="BB47" i="2"/>
  <c r="BA47" i="2"/>
  <c r="AZ47" i="2"/>
  <c r="BX15" i="2"/>
  <c r="BC15" i="2"/>
  <c r="AL12" i="2"/>
  <c r="CB15" i="2"/>
  <c r="BG15" i="2"/>
  <c r="CA18" i="2"/>
  <c r="BF18" i="2"/>
  <c r="AO13" i="2"/>
  <c r="AN16" i="2"/>
  <c r="AP18" i="2"/>
  <c r="AK47" i="2"/>
  <c r="BX47" i="2"/>
  <c r="BC47" i="2"/>
  <c r="BE49" i="2"/>
  <c r="BB13" i="2"/>
  <c r="AZ15" i="2"/>
  <c r="BD31" i="2"/>
  <c r="CS12" i="2"/>
  <c r="DN12" i="2" s="1"/>
  <c r="AZ16" i="2"/>
  <c r="BB16" i="2"/>
  <c r="AZ32" i="2"/>
  <c r="BB32" i="2"/>
  <c r="BE36" i="2"/>
  <c r="BA36" i="2"/>
  <c r="AZ36" i="2"/>
  <c r="BB36" i="2"/>
  <c r="BE40" i="2"/>
  <c r="BA40" i="2"/>
  <c r="AZ40" i="2"/>
  <c r="BB40" i="2"/>
  <c r="BA44" i="2"/>
  <c r="AZ44" i="2"/>
  <c r="BB44" i="2"/>
  <c r="BA48" i="2"/>
  <c r="AZ48" i="2"/>
  <c r="BB48" i="2"/>
  <c r="AL14" i="2"/>
  <c r="AK17" i="2"/>
  <c r="AL32" i="2"/>
  <c r="BY32" i="2"/>
  <c r="BD32" i="2"/>
  <c r="AK34" i="2"/>
  <c r="BX34" i="2"/>
  <c r="AL36" i="2"/>
  <c r="BY36" i="2"/>
  <c r="BD36" i="2"/>
  <c r="BY37" i="2"/>
  <c r="BD37" i="2"/>
  <c r="BY39" i="2"/>
  <c r="BD39" i="2"/>
  <c r="BC40" i="2"/>
  <c r="AK41" i="2"/>
  <c r="BX41" i="2"/>
  <c r="BC41" i="2"/>
  <c r="AK43" i="2"/>
  <c r="BX43" i="2"/>
  <c r="BC43" i="2"/>
  <c r="BC44" i="2"/>
  <c r="AM48" i="2"/>
  <c r="BZ48" i="2"/>
  <c r="BE48" i="2"/>
  <c r="AL49" i="2"/>
  <c r="AZ12" i="2"/>
  <c r="BD13" i="2"/>
  <c r="BB15" i="2"/>
  <c r="BE16" i="2"/>
  <c r="AZ17" i="2"/>
  <c r="BC18" i="2"/>
  <c r="BA32" i="2"/>
  <c r="CS17" i="2"/>
  <c r="DN17" i="2" s="1"/>
  <c r="BB33" i="2"/>
  <c r="BA33" i="2"/>
  <c r="AZ41" i="2"/>
  <c r="BB41" i="2"/>
  <c r="BA41" i="2"/>
  <c r="AZ49" i="2"/>
  <c r="BB49" i="2"/>
  <c r="BA49" i="2"/>
  <c r="BX13" i="2"/>
  <c r="BC13" i="2"/>
  <c r="BZ15" i="2"/>
  <c r="BE15" i="2"/>
  <c r="BY18" i="2"/>
  <c r="BD18" i="2"/>
  <c r="CC14" i="2"/>
  <c r="BH14" i="2"/>
  <c r="CB17" i="2"/>
  <c r="BG17" i="2"/>
  <c r="AO15" i="2"/>
  <c r="BY45" i="2"/>
  <c r="BD45" i="2"/>
  <c r="CW18" i="2"/>
  <c r="DR18" i="2" s="1"/>
  <c r="BD33" i="2"/>
  <c r="AK31" i="2"/>
  <c r="BX31" i="2"/>
  <c r="AM32" i="2"/>
  <c r="BZ32" i="2"/>
  <c r="CW32" i="2" s="1"/>
  <c r="AL35" i="2"/>
  <c r="AM36" i="2"/>
  <c r="BZ36" i="2"/>
  <c r="AM37" i="2"/>
  <c r="BZ37" i="2"/>
  <c r="AL38" i="2"/>
  <c r="BY38" i="2"/>
  <c r="AK39" i="2"/>
  <c r="BX39" i="2"/>
  <c r="AM40" i="2"/>
  <c r="BZ40" i="2"/>
  <c r="AL43" i="2"/>
  <c r="AM44" i="2"/>
  <c r="BZ44" i="2"/>
  <c r="AM45" i="2"/>
  <c r="BZ45" i="2"/>
  <c r="AM46" i="2"/>
  <c r="BZ46" i="2"/>
  <c r="AL47" i="2"/>
  <c r="AK49" i="2"/>
  <c r="BX49" i="2"/>
  <c r="AK50" i="2"/>
  <c r="BX50" i="2"/>
  <c r="BC31" i="2"/>
  <c r="BE37" i="2"/>
  <c r="BD38" i="2"/>
  <c r="BC39" i="2"/>
  <c r="BE45" i="2"/>
  <c r="BD43" i="2"/>
  <c r="BE46" i="2"/>
  <c r="BD47" i="2"/>
  <c r="AM31" i="2"/>
  <c r="BZ31" i="2"/>
  <c r="AK32" i="2"/>
  <c r="BX32" i="2"/>
  <c r="AO33" i="2"/>
  <c r="CB33" i="2"/>
  <c r="AL34" i="2"/>
  <c r="BY34" i="2"/>
  <c r="AK36" i="2"/>
  <c r="BX36" i="2"/>
  <c r="AK37" i="2"/>
  <c r="BX37" i="2"/>
  <c r="AM39" i="2"/>
  <c r="BZ39" i="2"/>
  <c r="AK40" i="2"/>
  <c r="BX40" i="2"/>
  <c r="AO41" i="2"/>
  <c r="CB41" i="2"/>
  <c r="AL42" i="2"/>
  <c r="BY42" i="2"/>
  <c r="AK44" i="2"/>
  <c r="BX44" i="2"/>
  <c r="AK45" i="2"/>
  <c r="BX45" i="2"/>
  <c r="AK46" i="2"/>
  <c r="BX46" i="2"/>
  <c r="AL48" i="2"/>
  <c r="BY48" i="2"/>
  <c r="AM49" i="2"/>
  <c r="BZ49" i="2"/>
  <c r="AM50" i="2"/>
  <c r="BZ50" i="2"/>
  <c r="BE31" i="2"/>
  <c r="BG33" i="2"/>
  <c r="BC37" i="2"/>
  <c r="BE39" i="2"/>
  <c r="BG41" i="2"/>
  <c r="BC45" i="2"/>
  <c r="BD48" i="2"/>
  <c r="BC49" i="2"/>
  <c r="BD41" i="2"/>
  <c r="BE44" i="2"/>
  <c r="BC46" i="2"/>
  <c r="BC50" i="2"/>
  <c r="BC12" i="2"/>
  <c r="AK12" i="2"/>
  <c r="BD12" i="2"/>
  <c r="BE12" i="2"/>
  <c r="AM12" i="2"/>
  <c r="AO12" i="2"/>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O24" i="1"/>
  <c r="DP32" i="2" l="1"/>
  <c r="CW50" i="2"/>
  <c r="DR50" i="2" s="1"/>
  <c r="CV34" i="2"/>
  <c r="DQ34" i="2" s="1"/>
  <c r="DP36" i="2"/>
  <c r="CV48" i="2"/>
  <c r="DQ48" i="2" s="1"/>
  <c r="CV41" i="2"/>
  <c r="DQ41" i="2" s="1"/>
  <c r="CW31" i="2"/>
  <c r="DR31" i="2" s="1"/>
  <c r="AN46" i="2"/>
  <c r="CA46" i="2"/>
  <c r="BF46" i="2"/>
  <c r="AR41" i="2"/>
  <c r="CE41" i="2"/>
  <c r="BJ41" i="2"/>
  <c r="AP39" i="2"/>
  <c r="CC39" i="2"/>
  <c r="BH39" i="2"/>
  <c r="AR33" i="2"/>
  <c r="CE33" i="2"/>
  <c r="BJ33" i="2"/>
  <c r="CW45" i="2"/>
  <c r="DR45" i="2" s="1"/>
  <c r="AN49" i="2"/>
  <c r="CA49" i="2"/>
  <c r="BF49" i="2"/>
  <c r="AN39" i="2"/>
  <c r="CA39" i="2"/>
  <c r="BF39" i="2"/>
  <c r="CV33" i="2"/>
  <c r="DQ33" i="2" s="1"/>
  <c r="CZ14" i="2"/>
  <c r="DU14" i="2" s="1"/>
  <c r="CS49" i="2"/>
  <c r="DN49" i="2" s="1"/>
  <c r="CR17" i="2"/>
  <c r="DM17" i="2" s="1"/>
  <c r="AP48" i="2"/>
  <c r="CC48" i="2"/>
  <c r="BH48" i="2"/>
  <c r="AN43" i="2"/>
  <c r="CA43" i="2"/>
  <c r="BF43" i="2"/>
  <c r="AO32" i="2"/>
  <c r="CB32" i="2"/>
  <c r="BG32" i="2"/>
  <c r="CR48" i="2"/>
  <c r="DM48" i="2" s="1"/>
  <c r="CW40" i="2"/>
  <c r="DR40" i="2" s="1"/>
  <c r="CR16" i="2"/>
  <c r="DM16" i="2" s="1"/>
  <c r="CU15" i="2"/>
  <c r="DP15" i="2" s="1"/>
  <c r="AP42" i="2"/>
  <c r="CC42" i="2"/>
  <c r="BH42" i="2"/>
  <c r="CV16" i="2"/>
  <c r="DQ16" i="2" s="1"/>
  <c r="CY39" i="2"/>
  <c r="DT39" i="2" s="1"/>
  <c r="CU50" i="2"/>
  <c r="DP50" i="2" s="1"/>
  <c r="CU49" i="2"/>
  <c r="DP49" i="2" s="1"/>
  <c r="CW39" i="2"/>
  <c r="DR39" i="2" s="1"/>
  <c r="CV47" i="2"/>
  <c r="DQ47" i="2" s="1"/>
  <c r="CU39" i="2"/>
  <c r="DP39" i="2" s="1"/>
  <c r="AO47" i="2"/>
  <c r="CB47" i="2"/>
  <c r="BG47" i="2"/>
  <c r="AP45" i="2"/>
  <c r="CC45" i="2"/>
  <c r="BH45" i="2"/>
  <c r="AP32" i="2"/>
  <c r="CC32" i="2"/>
  <c r="BH32" i="2"/>
  <c r="CV45" i="2"/>
  <c r="DQ45" i="2" s="1"/>
  <c r="CE15" i="2"/>
  <c r="BJ15" i="2"/>
  <c r="AR15" i="2"/>
  <c r="CT49" i="2"/>
  <c r="DO49" i="2" s="1"/>
  <c r="CR41" i="2"/>
  <c r="DM41" i="2" s="1"/>
  <c r="CW16" i="2"/>
  <c r="DR16" i="2" s="1"/>
  <c r="AO49" i="2"/>
  <c r="CB49" i="2"/>
  <c r="BG49" i="2"/>
  <c r="CU44" i="2"/>
  <c r="DP44" i="2" s="1"/>
  <c r="CU41" i="2"/>
  <c r="DP41" i="2" s="1"/>
  <c r="CV39" i="2"/>
  <c r="DQ39" i="2" s="1"/>
  <c r="CV36" i="2"/>
  <c r="DQ36" i="2" s="1"/>
  <c r="CA34" i="2"/>
  <c r="BF34" i="2"/>
  <c r="AN34" i="2"/>
  <c r="CA17" i="2"/>
  <c r="BF17" i="2"/>
  <c r="AN17" i="2"/>
  <c r="CS48" i="2"/>
  <c r="DN48" i="2" s="1"/>
  <c r="CT40" i="2"/>
  <c r="DO40" i="2" s="1"/>
  <c r="CT36" i="2"/>
  <c r="DO36" i="2" s="1"/>
  <c r="CT32" i="2"/>
  <c r="DO32" i="2" s="1"/>
  <c r="CT13" i="2"/>
  <c r="DO13" i="2" s="1"/>
  <c r="AN47" i="2"/>
  <c r="CA47" i="2"/>
  <c r="BF47" i="2"/>
  <c r="CD16" i="2"/>
  <c r="AQ16" i="2"/>
  <c r="BI16" i="2"/>
  <c r="CY15" i="2"/>
  <c r="DT15" i="2" s="1"/>
  <c r="CR39" i="2"/>
  <c r="DM39" i="2" s="1"/>
  <c r="CU38" i="2"/>
  <c r="DP38" i="2" s="1"/>
  <c r="AN33" i="2"/>
  <c r="CA33" i="2"/>
  <c r="BF33" i="2"/>
  <c r="CS43" i="2"/>
  <c r="DN43" i="2" s="1"/>
  <c r="CS35" i="2"/>
  <c r="DN35" i="2" s="1"/>
  <c r="CT31" i="2"/>
  <c r="DO31" i="2" s="1"/>
  <c r="CV50" i="2"/>
  <c r="DQ50" i="2" s="1"/>
  <c r="CW43" i="2"/>
  <c r="DR43" i="2" s="1"/>
  <c r="CW41" i="2"/>
  <c r="DR41" i="2" s="1"/>
  <c r="AR37" i="2"/>
  <c r="CE37" i="2"/>
  <c r="BJ37" i="2"/>
  <c r="CR50" i="2"/>
  <c r="DM50" i="2" s="1"/>
  <c r="CS46" i="2"/>
  <c r="DN46" i="2" s="1"/>
  <c r="CT42" i="2"/>
  <c r="DO42" i="2" s="1"/>
  <c r="CR34" i="2"/>
  <c r="DM34" i="2" s="1"/>
  <c r="CT18" i="2"/>
  <c r="DO18" i="2" s="1"/>
  <c r="AP47" i="2"/>
  <c r="CC47" i="2"/>
  <c r="BH47" i="2"/>
  <c r="CV44" i="2"/>
  <c r="DQ44" i="2" s="1"/>
  <c r="AO40" i="2"/>
  <c r="CB40" i="2"/>
  <c r="BG40" i="2"/>
  <c r="CW35" i="2"/>
  <c r="DR35" i="2" s="1"/>
  <c r="CS37" i="2"/>
  <c r="DN37" i="2" s="1"/>
  <c r="DA14" i="2"/>
  <c r="DV14" i="2" s="1"/>
  <c r="DR32" i="2"/>
  <c r="CX15" i="2"/>
  <c r="DS15" i="2" s="1"/>
  <c r="CF13" i="2"/>
  <c r="BK13" i="2"/>
  <c r="AS13" i="2"/>
  <c r="CG18" i="2"/>
  <c r="BL18" i="2"/>
  <c r="AT18" i="2"/>
  <c r="DB17" i="2"/>
  <c r="DW17" i="2" s="1"/>
  <c r="CF15" i="2"/>
  <c r="AS15" i="2"/>
  <c r="BK15" i="2"/>
  <c r="CD13" i="2"/>
  <c r="BI13" i="2"/>
  <c r="AQ13" i="2"/>
  <c r="CU46" i="2"/>
  <c r="DP46" i="2" s="1"/>
  <c r="AP50" i="2"/>
  <c r="CC50" i="2"/>
  <c r="BH50" i="2"/>
  <c r="AN45" i="2"/>
  <c r="CA45" i="2"/>
  <c r="BF45" i="2"/>
  <c r="CA40" i="2"/>
  <c r="BF40" i="2"/>
  <c r="AN40" i="2"/>
  <c r="AO34" i="2"/>
  <c r="CB34" i="2"/>
  <c r="BG34" i="2"/>
  <c r="CW46" i="2"/>
  <c r="DR46" i="2" s="1"/>
  <c r="AN50" i="2"/>
  <c r="CA50" i="2"/>
  <c r="BF50" i="2"/>
  <c r="AO38" i="2"/>
  <c r="CB38" i="2"/>
  <c r="BG38" i="2"/>
  <c r="AP36" i="2"/>
  <c r="CC36" i="2"/>
  <c r="BH36" i="2"/>
  <c r="CV18" i="2"/>
  <c r="DQ18" i="2" s="1"/>
  <c r="CR49" i="2"/>
  <c r="DM49" i="2" s="1"/>
  <c r="CT15" i="2"/>
  <c r="DO15" i="2" s="1"/>
  <c r="CU43" i="2"/>
  <c r="DP43" i="2" s="1"/>
  <c r="CB14" i="2"/>
  <c r="BG14" i="2"/>
  <c r="AO14" i="2"/>
  <c r="CR40" i="2"/>
  <c r="DM40" i="2" s="1"/>
  <c r="CR36" i="2"/>
  <c r="DM36" i="2" s="1"/>
  <c r="CR32" i="2"/>
  <c r="DM32" i="2" s="1"/>
  <c r="CW49" i="2"/>
  <c r="DR49" i="2" s="1"/>
  <c r="CE13" i="2"/>
  <c r="AR13" i="2"/>
  <c r="BJ13" i="2"/>
  <c r="CR47" i="2"/>
  <c r="DM47" i="2" s="1"/>
  <c r="CS39" i="2"/>
  <c r="DN39" i="2" s="1"/>
  <c r="CW42" i="2"/>
  <c r="DR42" i="2" s="1"/>
  <c r="AN35" i="2"/>
  <c r="CA35" i="2"/>
  <c r="BF35" i="2"/>
  <c r="CZ16" i="2"/>
  <c r="DU16" i="2" s="1"/>
  <c r="CW17" i="2"/>
  <c r="DR17" i="2" s="1"/>
  <c r="CW13" i="2"/>
  <c r="DR13" i="2" s="1"/>
  <c r="CT43" i="2"/>
  <c r="DO43" i="2" s="1"/>
  <c r="CT35" i="2"/>
  <c r="DO35" i="2" s="1"/>
  <c r="CV17" i="2"/>
  <c r="DQ17" i="2" s="1"/>
  <c r="CU48" i="2"/>
  <c r="DP48" i="2" s="1"/>
  <c r="AR39" i="2"/>
  <c r="CE39" i="2"/>
  <c r="BJ39" i="2"/>
  <c r="CW34" i="2"/>
  <c r="DR34" i="2" s="1"/>
  <c r="CS50" i="2"/>
  <c r="DN50" i="2" s="1"/>
  <c r="CT46" i="2"/>
  <c r="DO46" i="2" s="1"/>
  <c r="CR38" i="2"/>
  <c r="DM38" i="2" s="1"/>
  <c r="CS34" i="2"/>
  <c r="DN34" i="2" s="1"/>
  <c r="CR14" i="2"/>
  <c r="DM14" i="2" s="1"/>
  <c r="CR31" i="2"/>
  <c r="DM31" i="2" s="1"/>
  <c r="CV46" i="2"/>
  <c r="DQ46" i="2" s="1"/>
  <c r="CA42" i="2"/>
  <c r="BF42" i="2"/>
  <c r="AN42" i="2"/>
  <c r="CW38" i="2"/>
  <c r="DR38" i="2" s="1"/>
  <c r="AP33" i="2"/>
  <c r="CC33" i="2"/>
  <c r="BH33" i="2"/>
  <c r="CX16" i="2"/>
  <c r="DS16" i="2" s="1"/>
  <c r="CU17" i="2"/>
  <c r="DP17" i="2" s="1"/>
  <c r="CS45" i="2"/>
  <c r="DN45" i="2" s="1"/>
  <c r="CT37" i="2"/>
  <c r="DO37" i="2" s="1"/>
  <c r="DC16" i="2"/>
  <c r="DX16" i="2" s="1"/>
  <c r="CG14" i="2"/>
  <c r="BL14" i="2"/>
  <c r="AT14" i="2"/>
  <c r="AR45" i="2"/>
  <c r="CE45" i="2"/>
  <c r="BJ45" i="2"/>
  <c r="CE16" i="2"/>
  <c r="BJ16" i="2"/>
  <c r="AR16" i="2"/>
  <c r="CD15" i="2"/>
  <c r="BI15" i="2"/>
  <c r="AQ15" i="2"/>
  <c r="DA18" i="2"/>
  <c r="DV18" i="2" s="1"/>
  <c r="CE18" i="2"/>
  <c r="BJ18" i="2"/>
  <c r="AR18" i="2"/>
  <c r="CZ15" i="2"/>
  <c r="DU15" i="2" s="1"/>
  <c r="CU37" i="2"/>
  <c r="DP37" i="2" s="1"/>
  <c r="AO48" i="2"/>
  <c r="CB48" i="2"/>
  <c r="BG48" i="2"/>
  <c r="AO42" i="2"/>
  <c r="CB42" i="2"/>
  <c r="BG42" i="2"/>
  <c r="AN37" i="2"/>
  <c r="CA37" i="2"/>
  <c r="BF37" i="2"/>
  <c r="CA32" i="2"/>
  <c r="BF32" i="2"/>
  <c r="AN32" i="2"/>
  <c r="CV38" i="2"/>
  <c r="DQ38" i="2" s="1"/>
  <c r="AP40" i="2"/>
  <c r="CC40" i="2"/>
  <c r="BH40" i="2"/>
  <c r="CY17" i="2"/>
  <c r="DT17" i="2" s="1"/>
  <c r="CU13" i="2"/>
  <c r="DP13" i="2" s="1"/>
  <c r="CS33" i="2"/>
  <c r="DN33" i="2" s="1"/>
  <c r="CS32" i="2"/>
  <c r="DN32" i="2" s="1"/>
  <c r="CW48" i="2"/>
  <c r="DR48" i="2" s="1"/>
  <c r="CV32" i="2"/>
  <c r="DQ32" i="2" s="1"/>
  <c r="CT44" i="2"/>
  <c r="DO44" i="2" s="1"/>
  <c r="CR15" i="2"/>
  <c r="DM15" i="2" s="1"/>
  <c r="CW44" i="2"/>
  <c r="DR44" i="2" s="1"/>
  <c r="CU45" i="2"/>
  <c r="DP45" i="2" s="1"/>
  <c r="CY33" i="2"/>
  <c r="DT33" i="2" s="1"/>
  <c r="CV43" i="2"/>
  <c r="DQ43" i="2" s="1"/>
  <c r="CW37" i="2"/>
  <c r="DR37" i="2" s="1"/>
  <c r="AP46" i="2"/>
  <c r="CC46" i="2"/>
  <c r="BH46" i="2"/>
  <c r="AP44" i="2"/>
  <c r="CC44" i="2"/>
  <c r="BH44" i="2"/>
  <c r="AO35" i="2"/>
  <c r="CB35" i="2"/>
  <c r="BG35" i="2"/>
  <c r="AN31" i="2"/>
  <c r="CA31" i="2"/>
  <c r="BF31" i="2"/>
  <c r="CS41" i="2"/>
  <c r="DN41" i="2" s="1"/>
  <c r="CT33" i="2"/>
  <c r="DO33" i="2" s="1"/>
  <c r="CU18" i="2"/>
  <c r="DP18" i="2" s="1"/>
  <c r="CV13" i="2"/>
  <c r="DQ13" i="2" s="1"/>
  <c r="AN41" i="2"/>
  <c r="CA41" i="2"/>
  <c r="BF41" i="2"/>
  <c r="CV37" i="2"/>
  <c r="DQ37" i="2" s="1"/>
  <c r="AO36" i="2"/>
  <c r="CB36" i="2"/>
  <c r="BG36" i="2"/>
  <c r="CT48" i="2"/>
  <c r="DO48" i="2" s="1"/>
  <c r="CR44" i="2"/>
  <c r="DM44" i="2" s="1"/>
  <c r="CS40" i="2"/>
  <c r="DN40" i="2" s="1"/>
  <c r="CS36" i="2"/>
  <c r="DN36" i="2" s="1"/>
  <c r="CT16" i="2"/>
  <c r="DO16" i="2" s="1"/>
  <c r="CV31" i="2"/>
  <c r="DQ31" i="2" s="1"/>
  <c r="CU47" i="2"/>
  <c r="DP47" i="2" s="1"/>
  <c r="CX18" i="2"/>
  <c r="DS18" i="2" s="1"/>
  <c r="CB12" i="2"/>
  <c r="BG12" i="2"/>
  <c r="CS47" i="2"/>
  <c r="DN47" i="2" s="1"/>
  <c r="CT39" i="2"/>
  <c r="DO39" i="2" s="1"/>
  <c r="AN38" i="2"/>
  <c r="CA38" i="2"/>
  <c r="BF38" i="2"/>
  <c r="CU33" i="2"/>
  <c r="DP33" i="2" s="1"/>
  <c r="CR35" i="2"/>
  <c r="DM35" i="2" s="1"/>
  <c r="CU14" i="2"/>
  <c r="DP14" i="2" s="1"/>
  <c r="AO50" i="2"/>
  <c r="CB50" i="2"/>
  <c r="BG50" i="2"/>
  <c r="CC43" i="2"/>
  <c r="BH43" i="2"/>
  <c r="AP43" i="2"/>
  <c r="AP41" i="2"/>
  <c r="CC41" i="2"/>
  <c r="BH41" i="2"/>
  <c r="CY37" i="2"/>
  <c r="DT37" i="2" s="1"/>
  <c r="CT50" i="2"/>
  <c r="DO50" i="2" s="1"/>
  <c r="CR42" i="2"/>
  <c r="DM42" i="2" s="1"/>
  <c r="CS38" i="2"/>
  <c r="DN38" i="2" s="1"/>
  <c r="CT34" i="2"/>
  <c r="DO34" i="2" s="1"/>
  <c r="CT14" i="2"/>
  <c r="DO14" i="2" s="1"/>
  <c r="CT17" i="2"/>
  <c r="DO17" i="2" s="1"/>
  <c r="CW47" i="2"/>
  <c r="DR47" i="2" s="1"/>
  <c r="AO44" i="2"/>
  <c r="CB44" i="2"/>
  <c r="BG44" i="2"/>
  <c r="CV40" i="2"/>
  <c r="DQ40" i="2" s="1"/>
  <c r="CC35" i="2"/>
  <c r="BH35" i="2"/>
  <c r="AP35" i="2"/>
  <c r="AO31" i="2"/>
  <c r="CB31" i="2"/>
  <c r="BG31" i="2"/>
  <c r="CT45" i="2"/>
  <c r="DO45" i="2" s="1"/>
  <c r="CR37" i="2"/>
  <c r="DM37" i="2" s="1"/>
  <c r="CI16" i="2"/>
  <c r="BN16" i="2"/>
  <c r="AV16" i="2"/>
  <c r="CF17" i="2"/>
  <c r="BK17" i="2"/>
  <c r="AS17" i="2"/>
  <c r="CY16" i="2"/>
  <c r="DT16" i="2" s="1"/>
  <c r="CU34" i="2"/>
  <c r="DP34" i="2" s="1"/>
  <c r="CI14" i="2"/>
  <c r="BN14" i="2"/>
  <c r="AV14" i="2"/>
  <c r="CY18" i="2"/>
  <c r="DT18" i="2" s="1"/>
  <c r="CY41" i="2"/>
  <c r="DT41" i="2" s="1"/>
  <c r="AP49" i="2"/>
  <c r="CC49" i="2"/>
  <c r="BH49" i="2"/>
  <c r="AN44" i="2"/>
  <c r="CA44" i="2"/>
  <c r="BF44" i="2"/>
  <c r="AN36" i="2"/>
  <c r="CA36" i="2"/>
  <c r="BF36" i="2"/>
  <c r="AP31" i="2"/>
  <c r="CC31" i="2"/>
  <c r="BH31" i="2"/>
  <c r="CU31" i="2"/>
  <c r="DP31" i="2" s="1"/>
  <c r="AO43" i="2"/>
  <c r="CB43" i="2"/>
  <c r="BG43" i="2"/>
  <c r="CC37" i="2"/>
  <c r="BH37" i="2"/>
  <c r="AP37" i="2"/>
  <c r="CW15" i="2"/>
  <c r="DR15" i="2" s="1"/>
  <c r="CT41" i="2"/>
  <c r="DO41" i="2" s="1"/>
  <c r="CR12" i="2"/>
  <c r="DM12" i="2" s="1"/>
  <c r="CU40" i="2"/>
  <c r="DP40" i="2" s="1"/>
  <c r="CS44" i="2"/>
  <c r="DN44" i="2" s="1"/>
  <c r="CW36" i="2"/>
  <c r="DR36" i="2" s="1"/>
  <c r="CF18" i="2"/>
  <c r="BK18" i="2"/>
  <c r="AS18" i="2"/>
  <c r="CT47" i="2"/>
  <c r="DO47" i="2" s="1"/>
  <c r="CU35" i="2"/>
  <c r="DP35" i="2" s="1"/>
  <c r="CX14" i="2"/>
  <c r="DS14" i="2" s="1"/>
  <c r="CR43" i="2"/>
  <c r="DM43" i="2" s="1"/>
  <c r="CV35" i="2"/>
  <c r="DQ35" i="2" s="1"/>
  <c r="CR13" i="2"/>
  <c r="DM13" i="2" s="1"/>
  <c r="CV49" i="2"/>
  <c r="DQ49" i="2" s="1"/>
  <c r="AN48" i="2"/>
  <c r="CA48" i="2"/>
  <c r="BF48" i="2"/>
  <c r="CV42" i="2"/>
  <c r="DQ42" i="2" s="1"/>
  <c r="AP34" i="2"/>
  <c r="CC34" i="2"/>
  <c r="BH34" i="2"/>
  <c r="CR46" i="2"/>
  <c r="DM46" i="2" s="1"/>
  <c r="CS42" i="2"/>
  <c r="DN42" i="2" s="1"/>
  <c r="CT38" i="2"/>
  <c r="DO38" i="2" s="1"/>
  <c r="CR18" i="2"/>
  <c r="DM18" i="2" s="1"/>
  <c r="CV15" i="2"/>
  <c r="DQ15" i="2" s="1"/>
  <c r="AO46" i="2"/>
  <c r="CB46" i="2"/>
  <c r="BG46" i="2"/>
  <c r="CU42" i="2"/>
  <c r="DP42" i="2" s="1"/>
  <c r="AP38" i="2"/>
  <c r="CC38" i="2"/>
  <c r="BH38" i="2"/>
  <c r="CW33" i="2"/>
  <c r="DR33" i="2" s="1"/>
  <c r="CZ18" i="2"/>
  <c r="DU18" i="2" s="1"/>
  <c r="CY13" i="2"/>
  <c r="DT13" i="2" s="1"/>
  <c r="CV14" i="2"/>
  <c r="DQ14" i="2" s="1"/>
  <c r="CR45" i="2"/>
  <c r="DM45" i="2" s="1"/>
  <c r="CY45" i="2"/>
  <c r="DT45" i="2" s="1"/>
  <c r="CZ17" i="2"/>
  <c r="DU17" i="2" s="1"/>
  <c r="CZ13" i="2"/>
  <c r="DU13" i="2" s="1"/>
  <c r="CH17" i="2"/>
  <c r="BM17" i="2"/>
  <c r="AU17" i="2"/>
  <c r="DC14" i="2"/>
  <c r="DX14" i="2" s="1"/>
  <c r="CX13" i="2"/>
  <c r="DS13" i="2" s="1"/>
  <c r="CC12" i="2"/>
  <c r="AP12" i="2"/>
  <c r="BH12" i="2"/>
  <c r="CV12" i="2"/>
  <c r="DQ12" i="2" s="1"/>
  <c r="CE12" i="2"/>
  <c r="BJ12" i="2"/>
  <c r="AR12" i="2"/>
  <c r="CW12" i="2"/>
  <c r="DR12" i="2" s="1"/>
  <c r="CA12" i="2"/>
  <c r="BF12" i="2"/>
  <c r="AN12" i="2"/>
  <c r="CU12" i="2"/>
  <c r="DP12" i="2" s="1"/>
  <c r="Z50" i="1"/>
  <c r="Z47" i="1"/>
  <c r="Z43" i="1"/>
  <c r="Z14" i="1"/>
  <c r="Z10" i="1"/>
  <c r="Z7" i="1"/>
  <c r="Z5" i="1"/>
  <c r="Y53" i="1"/>
  <c r="X53" i="1"/>
  <c r="Y52" i="1"/>
  <c r="X52" i="1"/>
  <c r="Z52" i="1" s="1"/>
  <c r="Y51" i="1"/>
  <c r="X51" i="1"/>
  <c r="Z51" i="1" s="1"/>
  <c r="Y50" i="1"/>
  <c r="X50" i="1"/>
  <c r="Y49" i="1"/>
  <c r="X49" i="1"/>
  <c r="Z49" i="1" s="1"/>
  <c r="Y48" i="1"/>
  <c r="X48" i="1"/>
  <c r="Z48" i="1" s="1"/>
  <c r="Y47" i="1"/>
  <c r="X47" i="1"/>
  <c r="Y46" i="1"/>
  <c r="X46" i="1"/>
  <c r="Z46" i="1" s="1"/>
  <c r="Y45" i="1"/>
  <c r="X45" i="1"/>
  <c r="Z45" i="1" s="1"/>
  <c r="Y44" i="1"/>
  <c r="X44" i="1"/>
  <c r="Y43" i="1"/>
  <c r="X43" i="1"/>
  <c r="Y42" i="1"/>
  <c r="X42" i="1"/>
  <c r="Z42" i="1" s="1"/>
  <c r="Y41" i="1"/>
  <c r="X41" i="1"/>
  <c r="Y40" i="1"/>
  <c r="X40" i="1"/>
  <c r="Y39" i="1"/>
  <c r="X39" i="1"/>
  <c r="Y38" i="1"/>
  <c r="X38" i="1"/>
  <c r="Z38" i="1" s="1"/>
  <c r="Y37" i="1"/>
  <c r="X37" i="1"/>
  <c r="Y36" i="1"/>
  <c r="X36" i="1"/>
  <c r="Y35" i="1"/>
  <c r="X35" i="1"/>
  <c r="Y34" i="1"/>
  <c r="X34" i="1"/>
  <c r="Z34" i="1" s="1"/>
  <c r="Y33" i="1"/>
  <c r="X33" i="1"/>
  <c r="Y32" i="1"/>
  <c r="X32" i="1"/>
  <c r="Y31" i="1"/>
  <c r="X31" i="1"/>
  <c r="Z31" i="1" s="1"/>
  <c r="Y30" i="1"/>
  <c r="X30" i="1"/>
  <c r="Z30" i="1" s="1"/>
  <c r="Y29" i="1"/>
  <c r="X29" i="1"/>
  <c r="Y28" i="1"/>
  <c r="X28" i="1"/>
  <c r="Y27" i="1"/>
  <c r="X27" i="1"/>
  <c r="Y26" i="1"/>
  <c r="X26" i="1"/>
  <c r="Z26" i="1" s="1"/>
  <c r="Y25" i="1"/>
  <c r="X25" i="1"/>
  <c r="Y24" i="1"/>
  <c r="X24" i="1"/>
  <c r="Z24" i="1" s="1"/>
  <c r="Y23" i="1"/>
  <c r="X23" i="1"/>
  <c r="Y22" i="1"/>
  <c r="X22" i="1"/>
  <c r="Z22" i="1" s="1"/>
  <c r="Y21" i="1"/>
  <c r="X21" i="1"/>
  <c r="Y20" i="1"/>
  <c r="X20" i="1"/>
  <c r="Y19" i="1"/>
  <c r="X19" i="1"/>
  <c r="Y18" i="1"/>
  <c r="X18" i="1"/>
  <c r="Z18" i="1" s="1"/>
  <c r="Y17" i="1"/>
  <c r="X17" i="1"/>
  <c r="Y16" i="1"/>
  <c r="X16" i="1"/>
  <c r="Y15" i="1"/>
  <c r="X15" i="1"/>
  <c r="Y14" i="1"/>
  <c r="X14" i="1"/>
  <c r="Y13" i="1"/>
  <c r="X13" i="1"/>
  <c r="Y12" i="1"/>
  <c r="X12" i="1"/>
  <c r="Z12" i="1" s="1"/>
  <c r="Y11" i="1"/>
  <c r="X11" i="1"/>
  <c r="Z11" i="1" s="1"/>
  <c r="Y10" i="1"/>
  <c r="X10" i="1"/>
  <c r="Y9" i="1"/>
  <c r="X9" i="1"/>
  <c r="Z9" i="1" s="1"/>
  <c r="Y8" i="1"/>
  <c r="X8" i="1"/>
  <c r="Z8" i="1" s="1"/>
  <c r="Y7" i="1"/>
  <c r="X7" i="1"/>
  <c r="Y6" i="1"/>
  <c r="X6" i="1"/>
  <c r="Y5" i="1"/>
  <c r="X5"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3" i="1"/>
  <c r="O22" i="1"/>
  <c r="O21" i="1"/>
  <c r="O20" i="1"/>
  <c r="O19" i="1"/>
  <c r="O18" i="1"/>
  <c r="O17" i="1"/>
  <c r="O16" i="1"/>
  <c r="O15" i="1"/>
  <c r="O14" i="1"/>
  <c r="O13" i="1"/>
  <c r="O12" i="1"/>
  <c r="O11" i="1"/>
  <c r="O10" i="1"/>
  <c r="O9" i="1"/>
  <c r="O8" i="1"/>
  <c r="O7" i="1"/>
  <c r="O6" i="1"/>
  <c r="O5" i="1"/>
  <c r="AC53" i="1"/>
  <c r="AB53" i="1"/>
  <c r="AA53" i="1"/>
  <c r="AC52" i="1"/>
  <c r="AB52" i="1"/>
  <c r="AA52" i="1"/>
  <c r="AC51" i="1"/>
  <c r="AB51" i="1"/>
  <c r="AA51" i="1"/>
  <c r="AC50" i="1"/>
  <c r="AB50" i="1"/>
  <c r="AA50" i="1"/>
  <c r="AC49" i="1"/>
  <c r="AB49" i="1"/>
  <c r="AA49" i="1"/>
  <c r="AC48" i="1"/>
  <c r="AB48" i="1"/>
  <c r="AA48" i="1"/>
  <c r="AC47" i="1"/>
  <c r="AB47" i="1"/>
  <c r="AA47" i="1"/>
  <c r="AC46" i="1"/>
  <c r="AB46" i="1"/>
  <c r="AA46" i="1"/>
  <c r="AC45" i="1"/>
  <c r="AB45" i="1"/>
  <c r="AA45" i="1"/>
  <c r="AC44" i="1"/>
  <c r="AB44" i="1"/>
  <c r="AA44" i="1"/>
  <c r="AC43" i="1"/>
  <c r="AB43" i="1"/>
  <c r="AA43" i="1"/>
  <c r="AC42" i="1"/>
  <c r="AB42" i="1"/>
  <c r="AA42" i="1"/>
  <c r="AC41" i="1"/>
  <c r="AB41" i="1"/>
  <c r="AA41" i="1"/>
  <c r="AC40" i="1"/>
  <c r="AB40" i="1"/>
  <c r="AA40" i="1"/>
  <c r="AC39" i="1"/>
  <c r="AB39" i="1"/>
  <c r="AA39" i="1"/>
  <c r="AC38" i="1"/>
  <c r="AB38" i="1"/>
  <c r="AA38" i="1"/>
  <c r="AC37" i="1"/>
  <c r="AB37" i="1"/>
  <c r="AA37" i="1"/>
  <c r="AC36" i="1"/>
  <c r="AB36" i="1"/>
  <c r="AA36" i="1"/>
  <c r="AC35" i="1"/>
  <c r="AB35" i="1"/>
  <c r="AA35" i="1"/>
  <c r="AC34" i="1"/>
  <c r="AB34" i="1"/>
  <c r="AA34" i="1"/>
  <c r="AC33" i="1"/>
  <c r="AB33" i="1"/>
  <c r="AA33" i="1"/>
  <c r="AC32" i="1"/>
  <c r="AB32" i="1"/>
  <c r="AA32" i="1"/>
  <c r="AC31" i="1"/>
  <c r="AB31" i="1"/>
  <c r="AA31" i="1"/>
  <c r="AC30" i="1"/>
  <c r="AB30" i="1"/>
  <c r="AA30" i="1"/>
  <c r="AC29" i="1"/>
  <c r="AB29" i="1"/>
  <c r="AA29" i="1"/>
  <c r="AC28" i="1"/>
  <c r="AB28" i="1"/>
  <c r="AA28" i="1"/>
  <c r="AC27" i="1"/>
  <c r="AB27" i="1"/>
  <c r="AA27" i="1"/>
  <c r="AC26" i="1"/>
  <c r="AB26" i="1"/>
  <c r="AA26" i="1"/>
  <c r="AC25" i="1"/>
  <c r="AB25" i="1"/>
  <c r="AA25" i="1"/>
  <c r="AC24" i="1"/>
  <c r="AB24" i="1"/>
  <c r="AA24" i="1"/>
  <c r="AC23" i="1"/>
  <c r="AB23" i="1"/>
  <c r="AA23" i="1"/>
  <c r="AC22" i="1"/>
  <c r="AB22" i="1"/>
  <c r="AA22" i="1"/>
  <c r="AC21" i="1"/>
  <c r="AB21" i="1"/>
  <c r="AA21" i="1"/>
  <c r="AC20" i="1"/>
  <c r="AB20" i="1"/>
  <c r="AA20" i="1"/>
  <c r="AC19" i="1"/>
  <c r="AB19" i="1"/>
  <c r="AA19" i="1"/>
  <c r="AC18" i="1"/>
  <c r="AB18" i="1"/>
  <c r="AA18" i="1"/>
  <c r="AC17" i="1"/>
  <c r="AB17" i="1"/>
  <c r="AA17" i="1"/>
  <c r="AC16" i="1"/>
  <c r="AB16" i="1"/>
  <c r="AA16" i="1"/>
  <c r="AC15" i="1"/>
  <c r="AB15" i="1"/>
  <c r="AA15" i="1"/>
  <c r="AC14" i="1"/>
  <c r="AB14" i="1"/>
  <c r="AA14" i="1"/>
  <c r="AC13" i="1"/>
  <c r="AB13" i="1"/>
  <c r="AA13" i="1"/>
  <c r="AC12" i="1"/>
  <c r="AB12" i="1"/>
  <c r="AA12" i="1"/>
  <c r="AC11" i="1"/>
  <c r="AB11" i="1"/>
  <c r="AA11" i="1"/>
  <c r="AC10" i="1"/>
  <c r="AB10" i="1"/>
  <c r="AA10" i="1"/>
  <c r="AC9" i="1"/>
  <c r="AB9" i="1"/>
  <c r="AA9" i="1"/>
  <c r="AC8" i="1"/>
  <c r="AB8" i="1"/>
  <c r="AA8" i="1"/>
  <c r="AC7" i="1"/>
  <c r="AB7" i="1"/>
  <c r="AA7" i="1"/>
  <c r="AC6" i="1"/>
  <c r="AB6" i="1"/>
  <c r="AA6" i="1"/>
  <c r="AC5" i="1"/>
  <c r="AB5" i="1"/>
  <c r="AA5" i="1"/>
  <c r="AC4" i="1"/>
  <c r="AB4" i="1"/>
  <c r="AA4" i="1"/>
  <c r="Y4" i="1"/>
  <c r="X4" i="1"/>
  <c r="Z4" i="1" s="1"/>
  <c r="O4" i="1"/>
  <c r="C53" i="1"/>
  <c r="J53" i="1" s="1"/>
  <c r="C52" i="1"/>
  <c r="L52" i="1" s="1"/>
  <c r="C51" i="1"/>
  <c r="J51" i="1" s="1"/>
  <c r="C50" i="1"/>
  <c r="J50" i="1" s="1"/>
  <c r="C49" i="1"/>
  <c r="L49" i="1" s="1"/>
  <c r="C48" i="1"/>
  <c r="J48" i="1" s="1"/>
  <c r="C47" i="1"/>
  <c r="L47" i="1" s="1"/>
  <c r="C46" i="1"/>
  <c r="L46" i="1" s="1"/>
  <c r="C45" i="1"/>
  <c r="L45" i="1" s="1"/>
  <c r="C44" i="1"/>
  <c r="K44" i="1" s="1"/>
  <c r="C43" i="1"/>
  <c r="K43" i="1" s="1"/>
  <c r="C42" i="1"/>
  <c r="J42" i="1" s="1"/>
  <c r="C41" i="1"/>
  <c r="K41" i="1" s="1"/>
  <c r="C40" i="1"/>
  <c r="L40" i="1" s="1"/>
  <c r="C39" i="1"/>
  <c r="L39" i="1" s="1"/>
  <c r="C38" i="1"/>
  <c r="L38" i="1" s="1"/>
  <c r="C37" i="1"/>
  <c r="L37" i="1" s="1"/>
  <c r="C36" i="1"/>
  <c r="K36" i="1" s="1"/>
  <c r="C35" i="1"/>
  <c r="L35" i="1" s="1"/>
  <c r="C34" i="1"/>
  <c r="L34" i="1" s="1"/>
  <c r="C33" i="1"/>
  <c r="J33" i="1" s="1"/>
  <c r="C32" i="1"/>
  <c r="L32" i="1" s="1"/>
  <c r="C31" i="1"/>
  <c r="J31" i="1" s="1"/>
  <c r="C30" i="1"/>
  <c r="J30" i="1" s="1"/>
  <c r="C5" i="1"/>
  <c r="K5" i="1" s="1"/>
  <c r="C6" i="1"/>
  <c r="J6" i="1" s="1"/>
  <c r="C7" i="1"/>
  <c r="J7" i="1" s="1"/>
  <c r="C8" i="1"/>
  <c r="J8" i="1" s="1"/>
  <c r="C9" i="1"/>
  <c r="K9" i="1" s="1"/>
  <c r="C10" i="1"/>
  <c r="J10" i="1" s="1"/>
  <c r="C11" i="1"/>
  <c r="J11" i="1" s="1"/>
  <c r="C12" i="1"/>
  <c r="K12" i="1" s="1"/>
  <c r="C13" i="1"/>
  <c r="K13" i="1" s="1"/>
  <c r="C14" i="1"/>
  <c r="K14" i="1" s="1"/>
  <c r="C15" i="1"/>
  <c r="J15" i="1" s="1"/>
  <c r="C16" i="1"/>
  <c r="J16" i="1" s="1"/>
  <c r="C17" i="1"/>
  <c r="K17" i="1" s="1"/>
  <c r="C18" i="1"/>
  <c r="L18" i="1" s="1"/>
  <c r="C19" i="1"/>
  <c r="J19" i="1" s="1"/>
  <c r="C20" i="1"/>
  <c r="L20" i="1" s="1"/>
  <c r="C21" i="1"/>
  <c r="L21" i="1" s="1"/>
  <c r="C22" i="1"/>
  <c r="L22" i="1" s="1"/>
  <c r="C23" i="1"/>
  <c r="J23" i="1" s="1"/>
  <c r="C24" i="1"/>
  <c r="J24" i="1" s="1"/>
  <c r="C25" i="1"/>
  <c r="L25" i="1" s="1"/>
  <c r="C26" i="1"/>
  <c r="J26" i="1" s="1"/>
  <c r="C27" i="1"/>
  <c r="C28" i="1"/>
  <c r="K28" i="1" s="1"/>
  <c r="C29" i="1"/>
  <c r="K29" i="1" s="1"/>
  <c r="L10" i="1"/>
  <c r="L42" i="1"/>
  <c r="J46" i="1"/>
  <c r="J35" i="1"/>
  <c r="J34" i="1"/>
  <c r="C4" i="1"/>
  <c r="J4" i="1" s="1"/>
  <c r="L17" i="1"/>
  <c r="J27" i="1"/>
  <c r="J39" i="1" l="1"/>
  <c r="J47" i="1"/>
  <c r="L31" i="1"/>
  <c r="AF31" i="1" s="1"/>
  <c r="AI31" i="1" s="1"/>
  <c r="K39" i="1"/>
  <c r="AE39" i="1" s="1"/>
  <c r="AH39" i="1" s="1"/>
  <c r="K51" i="1"/>
  <c r="K31" i="1"/>
  <c r="L43" i="1"/>
  <c r="AF43" i="1" s="1"/>
  <c r="AI43" i="1" s="1"/>
  <c r="L51" i="1"/>
  <c r="AF51" i="1" s="1"/>
  <c r="AI51" i="1" s="1"/>
  <c r="CZ38" i="2"/>
  <c r="DU38" i="2" s="1"/>
  <c r="AS34" i="2"/>
  <c r="CF34" i="2"/>
  <c r="BK34" i="2"/>
  <c r="CI18" i="2"/>
  <c r="BN18" i="2"/>
  <c r="AV18" i="2"/>
  <c r="DU37" i="2"/>
  <c r="CZ37" i="2"/>
  <c r="AR43" i="2"/>
  <c r="CE43" i="2"/>
  <c r="BJ43" i="2"/>
  <c r="AQ36" i="2"/>
  <c r="CD36" i="2"/>
  <c r="BI36" i="2"/>
  <c r="DU49" i="2"/>
  <c r="CZ49" i="2"/>
  <c r="DF14" i="2"/>
  <c r="EA14" i="2" s="1"/>
  <c r="CL16" i="2"/>
  <c r="BQ16" i="2"/>
  <c r="AY16" i="2"/>
  <c r="AS41" i="2"/>
  <c r="CF41" i="2"/>
  <c r="BK41" i="2"/>
  <c r="CY50" i="2"/>
  <c r="DT50" i="2" s="1"/>
  <c r="CY12" i="2"/>
  <c r="DT12" i="2" s="1"/>
  <c r="AR36" i="2"/>
  <c r="CE36" i="2"/>
  <c r="BJ36" i="2"/>
  <c r="AQ31" i="2"/>
  <c r="CD31" i="2"/>
  <c r="BI31" i="2"/>
  <c r="CZ44" i="2"/>
  <c r="DU44" i="2" s="1"/>
  <c r="CZ40" i="2"/>
  <c r="DU40" i="2" s="1"/>
  <c r="CX37" i="2"/>
  <c r="DS37" i="2" s="1"/>
  <c r="AR48" i="2"/>
  <c r="CE48" i="2"/>
  <c r="BJ48" i="2"/>
  <c r="DB45" i="2"/>
  <c r="DW45" i="2" s="1"/>
  <c r="DD14" i="2"/>
  <c r="DY14" i="2" s="1"/>
  <c r="CZ33" i="2"/>
  <c r="DU33" i="2" s="1"/>
  <c r="DB39" i="2"/>
  <c r="DW39" i="2" s="1"/>
  <c r="CZ36" i="2"/>
  <c r="DU36" i="2" s="1"/>
  <c r="AQ50" i="2"/>
  <c r="CD50" i="2"/>
  <c r="BI50" i="2"/>
  <c r="CZ50" i="2"/>
  <c r="DU50" i="2" s="1"/>
  <c r="DC15" i="2"/>
  <c r="DX15" i="2" s="1"/>
  <c r="CI13" i="2"/>
  <c r="AV13" i="2"/>
  <c r="BN13" i="2"/>
  <c r="CY40" i="2"/>
  <c r="DT40" i="2" s="1"/>
  <c r="AU37" i="2"/>
  <c r="CH37" i="2"/>
  <c r="BM37" i="2"/>
  <c r="CY49" i="2"/>
  <c r="DT49" i="2" s="1"/>
  <c r="AS32" i="2"/>
  <c r="CF32" i="2"/>
  <c r="BK32" i="2"/>
  <c r="CY47" i="2"/>
  <c r="DT47" i="2" s="1"/>
  <c r="CY32" i="2"/>
  <c r="DT32" i="2" s="1"/>
  <c r="AS48" i="2"/>
  <c r="CF48" i="2"/>
  <c r="BK48" i="2"/>
  <c r="CX49" i="2"/>
  <c r="DS49" i="2" s="1"/>
  <c r="CZ39" i="2"/>
  <c r="DU39" i="2" s="1"/>
  <c r="AQ46" i="2"/>
  <c r="CD46" i="2"/>
  <c r="BI46" i="2"/>
  <c r="CK17" i="2"/>
  <c r="BP17" i="2"/>
  <c r="AX17" i="2"/>
  <c r="CY46" i="2"/>
  <c r="DT46" i="2" s="1"/>
  <c r="AQ48" i="2"/>
  <c r="CD48" i="2"/>
  <c r="BI48" i="2"/>
  <c r="DC18" i="2"/>
  <c r="DX18" i="2" s="1"/>
  <c r="AS31" i="2"/>
  <c r="CF31" i="2"/>
  <c r="BK31" i="2"/>
  <c r="CX44" i="2"/>
  <c r="DS44" i="2" s="1"/>
  <c r="CI17" i="2"/>
  <c r="AV17" i="2"/>
  <c r="BN17" i="2"/>
  <c r="DF16" i="2"/>
  <c r="EA16" i="2" s="1"/>
  <c r="AR31" i="2"/>
  <c r="CE31" i="2"/>
  <c r="BJ31" i="2"/>
  <c r="AR44" i="2"/>
  <c r="CE44" i="2"/>
  <c r="BJ44" i="2"/>
  <c r="AS43" i="2"/>
  <c r="CF43" i="2"/>
  <c r="BK43" i="2"/>
  <c r="CX38" i="2"/>
  <c r="DS38" i="2" s="1"/>
  <c r="AQ41" i="2"/>
  <c r="CD41" i="2"/>
  <c r="BI41" i="2"/>
  <c r="CY35" i="2"/>
  <c r="DT35" i="2" s="1"/>
  <c r="AS46" i="2"/>
  <c r="CF46" i="2"/>
  <c r="BK46" i="2"/>
  <c r="AQ32" i="2"/>
  <c r="CD32" i="2"/>
  <c r="BI32" i="2"/>
  <c r="AR42" i="2"/>
  <c r="CE42" i="2"/>
  <c r="BJ42" i="2"/>
  <c r="CH18" i="2"/>
  <c r="AU18" i="2"/>
  <c r="BM18" i="2"/>
  <c r="CH16" i="2"/>
  <c r="AU16" i="2"/>
  <c r="BM16" i="2"/>
  <c r="AQ42" i="2"/>
  <c r="CD42" i="2"/>
  <c r="BI42" i="2"/>
  <c r="CX35" i="2"/>
  <c r="DS35" i="2" s="1"/>
  <c r="CE14" i="2"/>
  <c r="BJ14" i="2"/>
  <c r="AR14" i="2"/>
  <c r="CE38" i="2"/>
  <c r="BJ38" i="2"/>
  <c r="AR38" i="2"/>
  <c r="AR34" i="2"/>
  <c r="CE34" i="2"/>
  <c r="BJ34" i="2"/>
  <c r="CX45" i="2"/>
  <c r="DS45" i="2" s="1"/>
  <c r="CG13" i="2"/>
  <c r="AT13" i="2"/>
  <c r="BL13" i="2"/>
  <c r="CI15" i="2"/>
  <c r="AV15" i="2"/>
  <c r="BN15" i="2"/>
  <c r="CJ18" i="2"/>
  <c r="AW18" i="2"/>
  <c r="BO18" i="2"/>
  <c r="DC13" i="2"/>
  <c r="DX13" i="2" s="1"/>
  <c r="CZ47" i="2"/>
  <c r="DU47" i="2" s="1"/>
  <c r="CX33" i="2"/>
  <c r="DS33" i="2" s="1"/>
  <c r="CX47" i="2"/>
  <c r="DS47" i="2" s="1"/>
  <c r="AQ34" i="2"/>
  <c r="CD34" i="2"/>
  <c r="BI34" i="2"/>
  <c r="CH15" i="2"/>
  <c r="BM15" i="2"/>
  <c r="AU15" i="2"/>
  <c r="CZ45" i="2"/>
  <c r="DU45" i="2" s="1"/>
  <c r="CZ42" i="2"/>
  <c r="DU42" i="2" s="1"/>
  <c r="AQ43" i="2"/>
  <c r="CD43" i="2"/>
  <c r="BI43" i="2"/>
  <c r="CX39" i="2"/>
  <c r="DS39" i="2" s="1"/>
  <c r="DB33" i="2"/>
  <c r="DW33" i="2" s="1"/>
  <c r="AU41" i="2"/>
  <c r="CH41" i="2"/>
  <c r="BM41" i="2"/>
  <c r="DE17" i="2"/>
  <c r="DZ17" i="2" s="1"/>
  <c r="AS38" i="2"/>
  <c r="CF38" i="2"/>
  <c r="BK38" i="2"/>
  <c r="CZ34" i="2"/>
  <c r="DU34" i="2" s="1"/>
  <c r="CY43" i="2"/>
  <c r="DT43" i="2" s="1"/>
  <c r="CX36" i="2"/>
  <c r="DS36" i="2" s="1"/>
  <c r="AS49" i="2"/>
  <c r="CF49" i="2"/>
  <c r="BK49" i="2"/>
  <c r="DC17" i="2"/>
  <c r="DX17" i="2" s="1"/>
  <c r="AS35" i="2"/>
  <c r="CF35" i="2"/>
  <c r="BK35" i="2"/>
  <c r="CZ41" i="2"/>
  <c r="DU41" i="2" s="1"/>
  <c r="CZ43" i="2"/>
  <c r="DU43" i="2" s="1"/>
  <c r="AR50" i="2"/>
  <c r="CE50" i="2"/>
  <c r="BJ50" i="2"/>
  <c r="CY36" i="2"/>
  <c r="DT36" i="2" s="1"/>
  <c r="CX31" i="2"/>
  <c r="DS31" i="2" s="1"/>
  <c r="AS44" i="2"/>
  <c r="CF44" i="2"/>
  <c r="BK44" i="2"/>
  <c r="AS40" i="2"/>
  <c r="CF40" i="2"/>
  <c r="BK40" i="2"/>
  <c r="CX32" i="2"/>
  <c r="DS32" i="2" s="1"/>
  <c r="AQ37" i="2"/>
  <c r="CD37" i="2"/>
  <c r="BI37" i="2"/>
  <c r="CY48" i="2"/>
  <c r="DT48" i="2" s="1"/>
  <c r="DB18" i="2"/>
  <c r="DW18" i="2" s="1"/>
  <c r="CG15" i="2"/>
  <c r="AT15" i="2"/>
  <c r="BL15" i="2"/>
  <c r="DB16" i="2"/>
  <c r="DW16" i="2" s="1"/>
  <c r="AU45" i="2"/>
  <c r="CH45" i="2"/>
  <c r="BM45" i="2"/>
  <c r="AS33" i="2"/>
  <c r="CF33" i="2"/>
  <c r="BK33" i="2"/>
  <c r="CX42" i="2"/>
  <c r="DS42" i="2" s="1"/>
  <c r="AU39" i="2"/>
  <c r="CH39" i="2"/>
  <c r="BM39" i="2"/>
  <c r="DB13" i="2"/>
  <c r="DW13" i="2" s="1"/>
  <c r="CY14" i="2"/>
  <c r="DT14" i="2" s="1"/>
  <c r="AS36" i="2"/>
  <c r="CF36" i="2"/>
  <c r="BK36" i="2"/>
  <c r="CX50" i="2"/>
  <c r="DS50" i="2" s="1"/>
  <c r="AQ40" i="2"/>
  <c r="CD40" i="2"/>
  <c r="BI40" i="2"/>
  <c r="AS50" i="2"/>
  <c r="CF50" i="2"/>
  <c r="BK50" i="2"/>
  <c r="DA13" i="2"/>
  <c r="DV13" i="2" s="1"/>
  <c r="DD18" i="2"/>
  <c r="DY18" i="2" s="1"/>
  <c r="CE40" i="2"/>
  <c r="AR40" i="2"/>
  <c r="BJ40" i="2"/>
  <c r="DB37" i="2"/>
  <c r="DW37" i="2" s="1"/>
  <c r="DA16" i="2"/>
  <c r="DV16" i="2" s="1"/>
  <c r="CD17" i="2"/>
  <c r="AQ17" i="2"/>
  <c r="BI17" i="2"/>
  <c r="CX34" i="2"/>
  <c r="DS34" i="2" s="1"/>
  <c r="AR49" i="2"/>
  <c r="CE49" i="2"/>
  <c r="BJ49" i="2"/>
  <c r="DB15" i="2"/>
  <c r="DW15" i="2" s="1"/>
  <c r="CZ32" i="2"/>
  <c r="DU32" i="2" s="1"/>
  <c r="AR47" i="2"/>
  <c r="CE47" i="2"/>
  <c r="BJ47" i="2"/>
  <c r="CE32" i="2"/>
  <c r="AR32" i="2"/>
  <c r="BJ32" i="2"/>
  <c r="CZ48" i="2"/>
  <c r="DU48" i="2" s="1"/>
  <c r="AQ49" i="2"/>
  <c r="CD49" i="2"/>
  <c r="BI49" i="2"/>
  <c r="AS39" i="2"/>
  <c r="CF39" i="2"/>
  <c r="BK39" i="2"/>
  <c r="CX46" i="2"/>
  <c r="DS46" i="2" s="1"/>
  <c r="AR46" i="2"/>
  <c r="CE46" i="2"/>
  <c r="BJ46" i="2"/>
  <c r="CX48" i="2"/>
  <c r="DS48" i="2" s="1"/>
  <c r="AS37" i="2"/>
  <c r="CF37" i="2"/>
  <c r="BK37" i="2"/>
  <c r="CZ31" i="2"/>
  <c r="DU31" i="2" s="1"/>
  <c r="AQ44" i="2"/>
  <c r="CD44" i="2"/>
  <c r="BI44" i="2"/>
  <c r="CL14" i="2"/>
  <c r="BQ14" i="2"/>
  <c r="AY14" i="2"/>
  <c r="CY31" i="2"/>
  <c r="DT31" i="2" s="1"/>
  <c r="CZ35" i="2"/>
  <c r="DU35" i="2" s="1"/>
  <c r="CY44" i="2"/>
  <c r="DT44" i="2" s="1"/>
  <c r="AQ38" i="2"/>
  <c r="CD38" i="2"/>
  <c r="BI38" i="2"/>
  <c r="CX41" i="2"/>
  <c r="DS41" i="2" s="1"/>
  <c r="AR35" i="2"/>
  <c r="CE35" i="2"/>
  <c r="BJ35" i="2"/>
  <c r="CZ46" i="2"/>
  <c r="DU46" i="2" s="1"/>
  <c r="CY42" i="2"/>
  <c r="DT42" i="2" s="1"/>
  <c r="DA15" i="2"/>
  <c r="DV15" i="2" s="1"/>
  <c r="CJ14" i="2"/>
  <c r="BO14" i="2"/>
  <c r="AW14" i="2"/>
  <c r="AQ35" i="2"/>
  <c r="CD35" i="2"/>
  <c r="BI35" i="2"/>
  <c r="CH13" i="2"/>
  <c r="BM13" i="2"/>
  <c r="AU13" i="2"/>
  <c r="CY38" i="2"/>
  <c r="DT38" i="2" s="1"/>
  <c r="CY34" i="2"/>
  <c r="DT34" i="2" s="1"/>
  <c r="CX40" i="2"/>
  <c r="DS40" i="2" s="1"/>
  <c r="AQ45" i="2"/>
  <c r="CD45" i="2"/>
  <c r="BI45" i="2"/>
  <c r="AS47" i="2"/>
  <c r="CF47" i="2"/>
  <c r="BK47" i="2"/>
  <c r="AQ33" i="2"/>
  <c r="CD33" i="2"/>
  <c r="BI33" i="2"/>
  <c r="CG16" i="2"/>
  <c r="BL16" i="2"/>
  <c r="AT16" i="2"/>
  <c r="AQ47" i="2"/>
  <c r="CD47" i="2"/>
  <c r="BI47" i="2"/>
  <c r="CX17" i="2"/>
  <c r="DS17" i="2" s="1"/>
  <c r="AS45" i="2"/>
  <c r="CF45" i="2"/>
  <c r="BK45" i="2"/>
  <c r="AS42" i="2"/>
  <c r="CF42" i="2"/>
  <c r="BK42" i="2"/>
  <c r="CX43" i="2"/>
  <c r="DS43" i="2" s="1"/>
  <c r="AQ39" i="2"/>
  <c r="CD39" i="2"/>
  <c r="BI39" i="2"/>
  <c r="AU33" i="2"/>
  <c r="CH33" i="2"/>
  <c r="BM33" i="2"/>
  <c r="DB41" i="2"/>
  <c r="DW41" i="2" s="1"/>
  <c r="DB12" i="2"/>
  <c r="DW12" i="2" s="1"/>
  <c r="CZ12" i="2"/>
  <c r="DU12" i="2" s="1"/>
  <c r="CX12" i="2"/>
  <c r="DS12" i="2" s="1"/>
  <c r="CF12" i="2"/>
  <c r="AS12" i="2"/>
  <c r="BK12" i="2"/>
  <c r="CH12" i="2"/>
  <c r="BM12" i="2"/>
  <c r="AU12" i="2"/>
  <c r="CD12" i="2"/>
  <c r="AQ12" i="2"/>
  <c r="BI12" i="2"/>
  <c r="K18" i="1"/>
  <c r="AE18" i="1" s="1"/>
  <c r="AH18" i="1" s="1"/>
  <c r="L30" i="1"/>
  <c r="K22" i="1"/>
  <c r="AE22" i="1" s="1"/>
  <c r="AH22" i="1" s="1"/>
  <c r="L13" i="1"/>
  <c r="AF13" i="1" s="1"/>
  <c r="AI13" i="1" s="1"/>
  <c r="L26" i="1"/>
  <c r="J36" i="1"/>
  <c r="AD36" i="1" s="1"/>
  <c r="AG36" i="1" s="1"/>
  <c r="K26" i="1"/>
  <c r="L6" i="1"/>
  <c r="L48" i="1"/>
  <c r="AF48" i="1" s="1"/>
  <c r="AI48" i="1" s="1"/>
  <c r="AE5" i="1"/>
  <c r="AH5" i="1" s="1"/>
  <c r="L29" i="1"/>
  <c r="AF29" i="1" s="1"/>
  <c r="AI29" i="1" s="1"/>
  <c r="L14" i="1"/>
  <c r="AF14" i="1" s="1"/>
  <c r="AI14" i="1" s="1"/>
  <c r="K10" i="1"/>
  <c r="K6" i="1"/>
  <c r="J49" i="1"/>
  <c r="J44" i="1"/>
  <c r="AD44" i="1" s="1"/>
  <c r="J18" i="1"/>
  <c r="AD18" i="1" s="1"/>
  <c r="AG18" i="1" s="1"/>
  <c r="J22" i="1"/>
  <c r="AD22" i="1" s="1"/>
  <c r="AG22" i="1" s="1"/>
  <c r="J14" i="1"/>
  <c r="AD14" i="1" s="1"/>
  <c r="L9" i="1"/>
  <c r="AF9" i="1" s="1"/>
  <c r="AI9" i="1" s="1"/>
  <c r="L33" i="1"/>
  <c r="AF33" i="1" s="1"/>
  <c r="AI33" i="1" s="1"/>
  <c r="J37" i="1"/>
  <c r="AE43" i="1"/>
  <c r="AH43" i="1" s="1"/>
  <c r="Z53" i="1"/>
  <c r="AD53" i="1" s="1"/>
  <c r="AG53" i="1" s="1"/>
  <c r="AF52" i="1"/>
  <c r="AI52" i="1" s="1"/>
  <c r="AD51" i="1"/>
  <c r="AG51" i="1" s="1"/>
  <c r="AE51" i="1"/>
  <c r="AH51" i="1" s="1"/>
  <c r="AD50" i="1"/>
  <c r="AG50" i="1" s="1"/>
  <c r="AF49" i="1"/>
  <c r="AI49" i="1" s="1"/>
  <c r="AD49" i="1"/>
  <c r="AG49" i="1" s="1"/>
  <c r="AD48" i="1"/>
  <c r="AG48" i="1" s="1"/>
  <c r="AD47" i="1"/>
  <c r="AG47" i="1" s="1"/>
  <c r="AF47" i="1"/>
  <c r="AI47" i="1" s="1"/>
  <c r="AD46" i="1"/>
  <c r="AG46" i="1" s="1"/>
  <c r="AF46" i="1"/>
  <c r="AI46" i="1" s="1"/>
  <c r="AF45" i="1"/>
  <c r="AI45" i="1" s="1"/>
  <c r="Z44" i="1"/>
  <c r="AE44" i="1" s="1"/>
  <c r="AH44" i="1" s="1"/>
  <c r="AF42" i="1"/>
  <c r="AI42" i="1" s="1"/>
  <c r="AD42" i="1"/>
  <c r="AG42" i="1" s="1"/>
  <c r="Z41" i="1"/>
  <c r="Z40" i="1"/>
  <c r="AF40" i="1"/>
  <c r="AI40" i="1" s="1"/>
  <c r="Z39" i="1"/>
  <c r="AD39" i="1" s="1"/>
  <c r="AG39" i="1" s="1"/>
  <c r="AF39" i="1"/>
  <c r="AI39" i="1" s="1"/>
  <c r="AF38" i="1"/>
  <c r="AI38" i="1" s="1"/>
  <c r="Z37" i="1"/>
  <c r="Z36" i="1"/>
  <c r="Z35" i="1"/>
  <c r="AD35" i="1" s="1"/>
  <c r="AG35" i="1" s="1"/>
  <c r="AF35" i="1"/>
  <c r="AI35" i="1" s="1"/>
  <c r="AF34" i="1"/>
  <c r="AI34" i="1" s="1"/>
  <c r="AD34" i="1"/>
  <c r="AG34" i="1" s="1"/>
  <c r="Z33" i="1"/>
  <c r="AD33" i="1"/>
  <c r="AG33" i="1" s="1"/>
  <c r="Z32" i="1"/>
  <c r="AF32" i="1"/>
  <c r="AI32" i="1" s="1"/>
  <c r="AD31" i="1"/>
  <c r="AG31" i="1" s="1"/>
  <c r="AE31" i="1"/>
  <c r="AH31" i="1" s="1"/>
  <c r="AF30" i="1"/>
  <c r="AI30" i="1" s="1"/>
  <c r="AD30" i="1"/>
  <c r="AG30" i="1" s="1"/>
  <c r="Z29" i="1"/>
  <c r="AE29" i="1"/>
  <c r="Z28" i="1"/>
  <c r="AE28" i="1"/>
  <c r="AH28" i="1" s="1"/>
  <c r="Z27" i="1"/>
  <c r="AD27" i="1"/>
  <c r="AG27" i="1" s="1"/>
  <c r="AF26" i="1"/>
  <c r="AI26" i="1" s="1"/>
  <c r="AE26" i="1"/>
  <c r="AH26" i="1" s="1"/>
  <c r="AD26" i="1"/>
  <c r="AG26" i="1" s="1"/>
  <c r="Z25" i="1"/>
  <c r="AF25" i="1" s="1"/>
  <c r="AI25" i="1" s="1"/>
  <c r="AD4" i="1"/>
  <c r="AG4" i="1" s="1"/>
  <c r="AD24" i="1"/>
  <c r="AG24" i="1" s="1"/>
  <c r="Z23" i="1"/>
  <c r="AD23" i="1" s="1"/>
  <c r="AG23" i="1" s="1"/>
  <c r="AF22" i="1"/>
  <c r="AI22" i="1" s="1"/>
  <c r="Z21" i="1"/>
  <c r="AF21" i="1" s="1"/>
  <c r="AI21" i="1" s="1"/>
  <c r="Z20" i="1"/>
  <c r="AF20" i="1"/>
  <c r="AI20" i="1" s="1"/>
  <c r="Z19" i="1"/>
  <c r="AD19" i="1"/>
  <c r="AG19" i="1" s="1"/>
  <c r="AF18" i="1"/>
  <c r="AI18" i="1" s="1"/>
  <c r="Z17" i="1"/>
  <c r="AF17" i="1"/>
  <c r="AI17" i="1" s="1"/>
  <c r="AE17" i="1"/>
  <c r="AH17" i="1" s="1"/>
  <c r="Z16" i="1"/>
  <c r="AD16" i="1"/>
  <c r="AG16" i="1" s="1"/>
  <c r="Z15" i="1"/>
  <c r="AD15" i="1"/>
  <c r="AG15" i="1" s="1"/>
  <c r="AE14" i="1"/>
  <c r="AH14" i="1" s="1"/>
  <c r="Z13" i="1"/>
  <c r="AE13" i="1"/>
  <c r="AH13" i="1" s="1"/>
  <c r="AE12" i="1"/>
  <c r="AH12" i="1" s="1"/>
  <c r="AD11" i="1"/>
  <c r="AG11" i="1" s="1"/>
  <c r="AD10" i="1"/>
  <c r="AG10" i="1" s="1"/>
  <c r="AF10" i="1"/>
  <c r="AI10" i="1" s="1"/>
  <c r="AE9" i="1"/>
  <c r="AH9" i="1" s="1"/>
  <c r="AD8" i="1"/>
  <c r="AG8" i="1" s="1"/>
  <c r="AD7" i="1"/>
  <c r="AG7" i="1" s="1"/>
  <c r="Z6" i="1"/>
  <c r="K25" i="1"/>
  <c r="L5" i="1"/>
  <c r="K37" i="1"/>
  <c r="J41" i="1"/>
  <c r="K45" i="1"/>
  <c r="AE45" i="1" s="1"/>
  <c r="AH45" i="1" s="1"/>
  <c r="J45" i="1"/>
  <c r="AD45" i="1" s="1"/>
  <c r="AG45" i="1" s="1"/>
  <c r="K21" i="1"/>
  <c r="J5" i="1"/>
  <c r="L4" i="1"/>
  <c r="AF4" i="1" s="1"/>
  <c r="AI4" i="1" s="1"/>
  <c r="L41" i="1"/>
  <c r="K49" i="1"/>
  <c r="AE49" i="1" s="1"/>
  <c r="AH49" i="1" s="1"/>
  <c r="K53" i="1"/>
  <c r="AE53" i="1" s="1"/>
  <c r="AH53" i="1" s="1"/>
  <c r="K33" i="1"/>
  <c r="AE33" i="1" s="1"/>
  <c r="AH33" i="1" s="1"/>
  <c r="K4" i="1"/>
  <c r="AE4" i="1" s="1"/>
  <c r="AH4" i="1" s="1"/>
  <c r="L28" i="1"/>
  <c r="L8" i="1"/>
  <c r="AF8" i="1" s="1"/>
  <c r="AI8" i="1" s="1"/>
  <c r="K35" i="1"/>
  <c r="AE35" i="1" s="1"/>
  <c r="J43" i="1"/>
  <c r="K47" i="1"/>
  <c r="AE47" i="1" s="1"/>
  <c r="AH47" i="1" s="1"/>
  <c r="K8" i="1"/>
  <c r="AE8" i="1" s="1"/>
  <c r="AH8" i="1" s="1"/>
  <c r="L50" i="1"/>
  <c r="AF50" i="1" s="1"/>
  <c r="AI50" i="1" s="1"/>
  <c r="J28" i="1"/>
  <c r="L16" i="1"/>
  <c r="L12" i="1"/>
  <c r="AF12" i="1" s="1"/>
  <c r="AI12" i="1" s="1"/>
  <c r="L24" i="1"/>
  <c r="AF24" i="1" s="1"/>
  <c r="AI24" i="1" s="1"/>
  <c r="J20" i="1"/>
  <c r="AD20" i="1" s="1"/>
  <c r="AG20" i="1" s="1"/>
  <c r="K16" i="1"/>
  <c r="J12" i="1"/>
  <c r="AD12" i="1" s="1"/>
  <c r="AG12" i="1" s="1"/>
  <c r="K24" i="1"/>
  <c r="AE24" i="1" s="1"/>
  <c r="AH24" i="1" s="1"/>
  <c r="K20" i="1"/>
  <c r="AE20" i="1" s="1"/>
  <c r="AH20" i="1" s="1"/>
  <c r="J32" i="1"/>
  <c r="L36" i="1"/>
  <c r="J38" i="1"/>
  <c r="J40" i="1"/>
  <c r="L44" i="1"/>
  <c r="K48" i="1"/>
  <c r="AE48" i="1" s="1"/>
  <c r="AH48" i="1" s="1"/>
  <c r="J52" i="1"/>
  <c r="AD52" i="1" s="1"/>
  <c r="AG52" i="1" s="1"/>
  <c r="L53" i="1"/>
  <c r="AF53" i="1" s="1"/>
  <c r="AI53" i="1" s="1"/>
  <c r="K32" i="1"/>
  <c r="K40" i="1"/>
  <c r="AE40" i="1" s="1"/>
  <c r="AH40" i="1" s="1"/>
  <c r="K52" i="1"/>
  <c r="AE52" i="1" s="1"/>
  <c r="AH52" i="1" s="1"/>
  <c r="K34" i="1"/>
  <c r="K38" i="1"/>
  <c r="K42" i="1"/>
  <c r="AE42" i="1" s="1"/>
  <c r="AH42" i="1" s="1"/>
  <c r="K46" i="1"/>
  <c r="AE46" i="1" s="1"/>
  <c r="AH46" i="1" s="1"/>
  <c r="K50" i="1"/>
  <c r="AE50" i="1" s="1"/>
  <c r="AH50" i="1" s="1"/>
  <c r="K30" i="1"/>
  <c r="AE30" i="1" s="1"/>
  <c r="J29" i="1"/>
  <c r="L27" i="1"/>
  <c r="AF27" i="1" s="1"/>
  <c r="AI27" i="1" s="1"/>
  <c r="J25" i="1"/>
  <c r="L23" i="1"/>
  <c r="AF23" i="1" s="1"/>
  <c r="AI23" i="1" s="1"/>
  <c r="J21" i="1"/>
  <c r="AD21" i="1" s="1"/>
  <c r="L19" i="1"/>
  <c r="AF19" i="1" s="1"/>
  <c r="AI19" i="1" s="1"/>
  <c r="J17" i="1"/>
  <c r="AD17" i="1" s="1"/>
  <c r="AG17" i="1" s="1"/>
  <c r="L15" i="1"/>
  <c r="J13" i="1"/>
  <c r="AD13" i="1" s="1"/>
  <c r="AG13" i="1" s="1"/>
  <c r="L11" i="1"/>
  <c r="AF11" i="1" s="1"/>
  <c r="J9" i="1"/>
  <c r="AD9" i="1" s="1"/>
  <c r="AG9" i="1" s="1"/>
  <c r="L7" i="1"/>
  <c r="AF7" i="1" s="1"/>
  <c r="AI7" i="1" s="1"/>
  <c r="K27" i="1"/>
  <c r="AE27" i="1" s="1"/>
  <c r="AH27" i="1" s="1"/>
  <c r="K23" i="1"/>
  <c r="AE23" i="1" s="1"/>
  <c r="AH23" i="1" s="1"/>
  <c r="K19" i="1"/>
  <c r="AE19" i="1" s="1"/>
  <c r="AH19" i="1" s="1"/>
  <c r="K15" i="1"/>
  <c r="AE15" i="1" s="1"/>
  <c r="AH15" i="1" s="1"/>
  <c r="K11" i="1"/>
  <c r="AE11" i="1" s="1"/>
  <c r="AH11" i="1" s="1"/>
  <c r="K7" i="1"/>
  <c r="DE33" i="2" l="1"/>
  <c r="DZ33" i="2" s="1"/>
  <c r="DD16" i="2"/>
  <c r="DY16" i="2" s="1"/>
  <c r="DA45" i="2"/>
  <c r="DV45" i="2" s="1"/>
  <c r="DA35" i="2"/>
  <c r="DV35" i="2" s="1"/>
  <c r="AV37" i="2"/>
  <c r="CI37" i="2"/>
  <c r="BN37" i="2"/>
  <c r="CG39" i="2"/>
  <c r="BL39" i="2"/>
  <c r="AT39" i="2"/>
  <c r="AV45" i="2"/>
  <c r="CI45" i="2"/>
  <c r="BN45" i="2"/>
  <c r="DC47" i="2"/>
  <c r="DX47" i="2" s="1"/>
  <c r="CK13" i="2"/>
  <c r="BP13" i="2"/>
  <c r="AX13" i="2"/>
  <c r="DA38" i="2"/>
  <c r="DV38" i="2" s="1"/>
  <c r="DA44" i="2"/>
  <c r="DV44" i="2" s="1"/>
  <c r="AU46" i="2"/>
  <c r="CH46" i="2"/>
  <c r="BM46" i="2"/>
  <c r="AT49" i="2"/>
  <c r="CG49" i="2"/>
  <c r="BL49" i="2"/>
  <c r="AU32" i="2"/>
  <c r="CH32" i="2"/>
  <c r="BM32" i="2"/>
  <c r="AU47" i="2"/>
  <c r="CH47" i="2"/>
  <c r="BM47" i="2"/>
  <c r="DC50" i="2"/>
  <c r="DX50" i="2" s="1"/>
  <c r="DC36" i="2"/>
  <c r="DX36" i="2" s="1"/>
  <c r="DC33" i="2"/>
  <c r="DX33" i="2" s="1"/>
  <c r="DD15" i="2"/>
  <c r="DY15" i="2" s="1"/>
  <c r="DC40" i="2"/>
  <c r="DX40" i="2" s="1"/>
  <c r="AU50" i="2"/>
  <c r="CH50" i="2"/>
  <c r="BM50" i="2"/>
  <c r="AV49" i="2"/>
  <c r="CI49" i="2"/>
  <c r="BN49" i="2"/>
  <c r="DE41" i="2"/>
  <c r="DZ41" i="2" s="1"/>
  <c r="DG18" i="2"/>
  <c r="EB18" i="2" s="1"/>
  <c r="CL15" i="2"/>
  <c r="BQ15" i="2"/>
  <c r="AY15" i="2"/>
  <c r="AT42" i="2"/>
  <c r="CG42" i="2"/>
  <c r="BL42" i="2"/>
  <c r="DE18" i="2"/>
  <c r="DZ18" i="2" s="1"/>
  <c r="AT32" i="2"/>
  <c r="CG32" i="2"/>
  <c r="BL32" i="2"/>
  <c r="CG41" i="2"/>
  <c r="BL41" i="2"/>
  <c r="AT41" i="2"/>
  <c r="AU44" i="2"/>
  <c r="CH44" i="2"/>
  <c r="BM44" i="2"/>
  <c r="DA48" i="2"/>
  <c r="DV48" i="2" s="1"/>
  <c r="DA46" i="2"/>
  <c r="DV46" i="2" s="1"/>
  <c r="AV32" i="2"/>
  <c r="CI32" i="2"/>
  <c r="BN32" i="2"/>
  <c r="DF13" i="2"/>
  <c r="EA13" i="2" s="1"/>
  <c r="DB48" i="2"/>
  <c r="DW48" i="2" s="1"/>
  <c r="DB36" i="2"/>
  <c r="DW36" i="2" s="1"/>
  <c r="AV41" i="2"/>
  <c r="CI41" i="2"/>
  <c r="BN41" i="2"/>
  <c r="DA36" i="2"/>
  <c r="DV36" i="2" s="1"/>
  <c r="CL18" i="2"/>
  <c r="BQ18" i="2"/>
  <c r="AY18" i="2"/>
  <c r="CK33" i="2"/>
  <c r="AX33" i="2"/>
  <c r="BP33" i="2"/>
  <c r="AV42" i="2"/>
  <c r="CI42" i="2"/>
  <c r="BN42" i="2"/>
  <c r="AT47" i="2"/>
  <c r="CG47" i="2"/>
  <c r="BL47" i="2"/>
  <c r="AT45" i="2"/>
  <c r="CG45" i="2"/>
  <c r="BL45" i="2"/>
  <c r="DE13" i="2"/>
  <c r="DZ13" i="2" s="1"/>
  <c r="AU35" i="2"/>
  <c r="CH35" i="2"/>
  <c r="BM35" i="2"/>
  <c r="CO14" i="2"/>
  <c r="BT14" i="2"/>
  <c r="DC37" i="2"/>
  <c r="DX37" i="2" s="1"/>
  <c r="AV39" i="2"/>
  <c r="CI39" i="2"/>
  <c r="BN39" i="2"/>
  <c r="DB49" i="2"/>
  <c r="DW49" i="2" s="1"/>
  <c r="DB40" i="2"/>
  <c r="DW40" i="2" s="1"/>
  <c r="AT40" i="2"/>
  <c r="CG40" i="2"/>
  <c r="BL40" i="2"/>
  <c r="CK39" i="2"/>
  <c r="BP39" i="2"/>
  <c r="AX39" i="2"/>
  <c r="AX45" i="2"/>
  <c r="CK45" i="2"/>
  <c r="BP45" i="2"/>
  <c r="CJ15" i="2"/>
  <c r="BO15" i="2"/>
  <c r="AW15" i="2"/>
  <c r="AT37" i="2"/>
  <c r="CG37" i="2"/>
  <c r="BL37" i="2"/>
  <c r="CI44" i="2"/>
  <c r="BN44" i="2"/>
  <c r="AV44" i="2"/>
  <c r="DC35" i="2"/>
  <c r="DX35" i="2" s="1"/>
  <c r="CI38" i="2"/>
  <c r="BN38" i="2"/>
  <c r="AV38" i="2"/>
  <c r="AT43" i="2"/>
  <c r="CG43" i="2"/>
  <c r="BL43" i="2"/>
  <c r="DA34" i="2"/>
  <c r="DV34" i="2" s="1"/>
  <c r="CM18" i="2"/>
  <c r="BR18" i="2"/>
  <c r="AU34" i="2"/>
  <c r="CH34" i="2"/>
  <c r="BM34" i="2"/>
  <c r="CH14" i="2"/>
  <c r="AU14" i="2"/>
  <c r="BM14" i="2"/>
  <c r="DE16" i="2"/>
  <c r="DZ16" i="2" s="1"/>
  <c r="CK18" i="2"/>
  <c r="AX18" i="2"/>
  <c r="BP18" i="2"/>
  <c r="AU42" i="2"/>
  <c r="CH42" i="2"/>
  <c r="BM42" i="2"/>
  <c r="DC46" i="2"/>
  <c r="DX46" i="2" s="1"/>
  <c r="AV43" i="2"/>
  <c r="CI43" i="2"/>
  <c r="BN43" i="2"/>
  <c r="DB31" i="2"/>
  <c r="DW31" i="2" s="1"/>
  <c r="AV31" i="2"/>
  <c r="CI31" i="2"/>
  <c r="BN31" i="2"/>
  <c r="CN17" i="2"/>
  <c r="BS17" i="2"/>
  <c r="AV48" i="2"/>
  <c r="CI48" i="2"/>
  <c r="BN48" i="2"/>
  <c r="AX37" i="2"/>
  <c r="CK37" i="2"/>
  <c r="BP37" i="2"/>
  <c r="CL13" i="2"/>
  <c r="BQ13" i="2"/>
  <c r="AY13" i="2"/>
  <c r="AT50" i="2"/>
  <c r="CG50" i="2"/>
  <c r="BL50" i="2"/>
  <c r="DA31" i="2"/>
  <c r="DV31" i="2" s="1"/>
  <c r="CO16" i="2"/>
  <c r="BT16" i="2"/>
  <c r="AU43" i="2"/>
  <c r="CH43" i="2"/>
  <c r="BM43" i="2"/>
  <c r="DF18" i="2"/>
  <c r="EA18" i="2" s="1"/>
  <c r="AV34" i="2"/>
  <c r="CI34" i="2"/>
  <c r="BN34" i="2"/>
  <c r="DA33" i="2"/>
  <c r="DV33" i="2" s="1"/>
  <c r="AT35" i="2"/>
  <c r="CG35" i="2"/>
  <c r="BL35" i="2"/>
  <c r="DA39" i="2"/>
  <c r="DV39" i="2" s="1"/>
  <c r="DC45" i="2"/>
  <c r="DX45" i="2" s="1"/>
  <c r="CJ16" i="2"/>
  <c r="AW16" i="2"/>
  <c r="BO16" i="2"/>
  <c r="AV47" i="2"/>
  <c r="CI47" i="2"/>
  <c r="BN47" i="2"/>
  <c r="CM14" i="2"/>
  <c r="BR14" i="2"/>
  <c r="AT38" i="2"/>
  <c r="CG38" i="2"/>
  <c r="BL38" i="2"/>
  <c r="DI14" i="2"/>
  <c r="ED14" i="2" s="1"/>
  <c r="AT44" i="2"/>
  <c r="CG44" i="2"/>
  <c r="BL44" i="2"/>
  <c r="DB46" i="2"/>
  <c r="DW46" i="2" s="1"/>
  <c r="DA49" i="2"/>
  <c r="DV49" i="2" s="1"/>
  <c r="DB47" i="2"/>
  <c r="DW47" i="2" s="1"/>
  <c r="DA17" i="2"/>
  <c r="DV17" i="2" s="1"/>
  <c r="AU40" i="2"/>
  <c r="CH40" i="2"/>
  <c r="BM40" i="2"/>
  <c r="AV50" i="2"/>
  <c r="CI50" i="2"/>
  <c r="BN50" i="2"/>
  <c r="CI36" i="2"/>
  <c r="BN36" i="2"/>
  <c r="AV36" i="2"/>
  <c r="AV33" i="2"/>
  <c r="CI33" i="2"/>
  <c r="BN33" i="2"/>
  <c r="AV40" i="2"/>
  <c r="CI40" i="2"/>
  <c r="BN40" i="2"/>
  <c r="DB50" i="2"/>
  <c r="DW50" i="2" s="1"/>
  <c r="DC49" i="2"/>
  <c r="DX49" i="2" s="1"/>
  <c r="CK41" i="2"/>
  <c r="BP41" i="2"/>
  <c r="AX41" i="2"/>
  <c r="CK15" i="2"/>
  <c r="AX15" i="2"/>
  <c r="BP15" i="2"/>
  <c r="DD13" i="2"/>
  <c r="DY13" i="2" s="1"/>
  <c r="AU38" i="2"/>
  <c r="CH38" i="2"/>
  <c r="BM38" i="2"/>
  <c r="DB14" i="2"/>
  <c r="DW14" i="2" s="1"/>
  <c r="DA42" i="2"/>
  <c r="DV42" i="2" s="1"/>
  <c r="CK16" i="2"/>
  <c r="BP16" i="2"/>
  <c r="AX16" i="2"/>
  <c r="DA32" i="2"/>
  <c r="DV32" i="2" s="1"/>
  <c r="DA41" i="2"/>
  <c r="DV41" i="2" s="1"/>
  <c r="DB44" i="2"/>
  <c r="DW44" i="2" s="1"/>
  <c r="DF17" i="2"/>
  <c r="EA17" i="2" s="1"/>
  <c r="AT48" i="2"/>
  <c r="CG48" i="2"/>
  <c r="BL48" i="2"/>
  <c r="DH17" i="2"/>
  <c r="EC17" i="2" s="1"/>
  <c r="AT46" i="2"/>
  <c r="CG46" i="2"/>
  <c r="BL46" i="2"/>
  <c r="DC32" i="2"/>
  <c r="DX32" i="2" s="1"/>
  <c r="AU48" i="2"/>
  <c r="CH48" i="2"/>
  <c r="BM48" i="2"/>
  <c r="AU36" i="2"/>
  <c r="CH36" i="2"/>
  <c r="BM36" i="2"/>
  <c r="DC41" i="2"/>
  <c r="DX41" i="2" s="1"/>
  <c r="DI16" i="2"/>
  <c r="ED16" i="2" s="1"/>
  <c r="AT36" i="2"/>
  <c r="CG36" i="2"/>
  <c r="BL36" i="2"/>
  <c r="DC42" i="2"/>
  <c r="DX42" i="2" s="1"/>
  <c r="DA47" i="2"/>
  <c r="DV47" i="2" s="1"/>
  <c r="CG33" i="2"/>
  <c r="AT33" i="2"/>
  <c r="BL33" i="2"/>
  <c r="DG14" i="2"/>
  <c r="EB14" i="2" s="1"/>
  <c r="DB35" i="2"/>
  <c r="DW35" i="2" s="1"/>
  <c r="DC39" i="2"/>
  <c r="DX39" i="2" s="1"/>
  <c r="DB32" i="2"/>
  <c r="DW32" i="2" s="1"/>
  <c r="AU49" i="2"/>
  <c r="CH49" i="2"/>
  <c r="BM49" i="2"/>
  <c r="CG17" i="2"/>
  <c r="AT17" i="2"/>
  <c r="BL17" i="2"/>
  <c r="DA40" i="2"/>
  <c r="DV40" i="2" s="1"/>
  <c r="DE39" i="2"/>
  <c r="DZ39" i="2" s="1"/>
  <c r="DE45" i="2"/>
  <c r="DZ45" i="2" s="1"/>
  <c r="DA37" i="2"/>
  <c r="DV37" i="2" s="1"/>
  <c r="DC44" i="2"/>
  <c r="DX44" i="2" s="1"/>
  <c r="AV35" i="2"/>
  <c r="CI35" i="2"/>
  <c r="BN35" i="2"/>
  <c r="DC38" i="2"/>
  <c r="DX38" i="2" s="1"/>
  <c r="DA43" i="2"/>
  <c r="DV43" i="2" s="1"/>
  <c r="DE15" i="2"/>
  <c r="DZ15" i="2" s="1"/>
  <c r="AT34" i="2"/>
  <c r="CG34" i="2"/>
  <c r="BL34" i="2"/>
  <c r="DF15" i="2"/>
  <c r="EA15" i="2" s="1"/>
  <c r="CJ13" i="2"/>
  <c r="BO13" i="2"/>
  <c r="AW13" i="2"/>
  <c r="DB34" i="2"/>
  <c r="DW34" i="2" s="1"/>
  <c r="DB38" i="2"/>
  <c r="DW38" i="2" s="1"/>
  <c r="DB42" i="2"/>
  <c r="DW42" i="2" s="1"/>
  <c r="AV46" i="2"/>
  <c r="CI46" i="2"/>
  <c r="BN46" i="2"/>
  <c r="DX43" i="2"/>
  <c r="DC43" i="2"/>
  <c r="AU31" i="2"/>
  <c r="CH31" i="2"/>
  <c r="BM31" i="2"/>
  <c r="CL17" i="2"/>
  <c r="BQ17" i="2"/>
  <c r="AY17" i="2"/>
  <c r="DC31" i="2"/>
  <c r="DX31" i="2" s="1"/>
  <c r="DC48" i="2"/>
  <c r="DX48" i="2" s="1"/>
  <c r="DE37" i="2"/>
  <c r="DZ37" i="2" s="1"/>
  <c r="DA50" i="2"/>
  <c r="DV50" i="2" s="1"/>
  <c r="CG31" i="2"/>
  <c r="AT31" i="2"/>
  <c r="BL31" i="2"/>
  <c r="DB43" i="2"/>
  <c r="DW43" i="2" s="1"/>
  <c r="DC34" i="2"/>
  <c r="DX34" i="2" s="1"/>
  <c r="CK12" i="2"/>
  <c r="AX12" i="2"/>
  <c r="BP12" i="2"/>
  <c r="CI12" i="2"/>
  <c r="BN12" i="2"/>
  <c r="AV12" i="2"/>
  <c r="DA12" i="2"/>
  <c r="DV12" i="2" s="1"/>
  <c r="DE12" i="2"/>
  <c r="DZ12" i="2" s="1"/>
  <c r="CG12" i="2"/>
  <c r="BL12" i="2"/>
  <c r="AT12" i="2"/>
  <c r="DC12" i="2"/>
  <c r="DX12" i="2" s="1"/>
  <c r="AG14" i="1"/>
  <c r="AD37" i="1"/>
  <c r="AG37" i="1" s="1"/>
  <c r="AD29" i="1"/>
  <c r="AG29" i="1" s="1"/>
  <c r="AE10" i="1"/>
  <c r="AH10" i="1" s="1"/>
  <c r="AD41" i="1"/>
  <c r="AG41" i="1" s="1"/>
  <c r="AE38" i="1"/>
  <c r="AH38" i="1" s="1"/>
  <c r="AF28" i="1"/>
  <c r="AI28" i="1" s="1"/>
  <c r="AE34" i="1"/>
  <c r="AH34" i="1" s="1"/>
  <c r="AE16" i="1"/>
  <c r="AH16" i="1" s="1"/>
  <c r="AD5" i="1"/>
  <c r="AG5" i="1"/>
  <c r="AE6" i="1"/>
  <c r="AH6" i="1" s="1"/>
  <c r="AE7" i="1"/>
  <c r="AH7" i="1" s="1"/>
  <c r="AI11" i="1"/>
  <c r="AF15" i="1"/>
  <c r="AI15" i="1" s="1"/>
  <c r="AH30" i="1"/>
  <c r="AE32" i="1"/>
  <c r="AH32" i="1" s="1"/>
  <c r="AD38" i="1"/>
  <c r="AG38" i="1" s="1"/>
  <c r="AD43" i="1"/>
  <c r="AG43" i="1" s="1"/>
  <c r="AF5" i="1"/>
  <c r="AI5" i="1" s="1"/>
  <c r="AF36" i="1"/>
  <c r="AI36" i="1" s="1"/>
  <c r="AD40" i="1"/>
  <c r="AG40" i="1" s="1"/>
  <c r="AF44" i="1"/>
  <c r="AI44" i="1" s="1"/>
  <c r="AG44" i="1"/>
  <c r="AF41" i="1"/>
  <c r="AI41" i="1" s="1"/>
  <c r="AE41" i="1"/>
  <c r="AH41" i="1" s="1"/>
  <c r="AF37" i="1"/>
  <c r="AI37" i="1" s="1"/>
  <c r="AE37" i="1"/>
  <c r="AH37" i="1" s="1"/>
  <c r="AE36" i="1"/>
  <c r="AH36" i="1" s="1"/>
  <c r="AH35" i="1"/>
  <c r="AD32" i="1"/>
  <c r="AG32" i="1" s="1"/>
  <c r="AH29" i="1"/>
  <c r="AD28" i="1"/>
  <c r="AG28" i="1" s="1"/>
  <c r="AD25" i="1"/>
  <c r="AG25" i="1" s="1"/>
  <c r="AE25" i="1"/>
  <c r="AH25" i="1" s="1"/>
  <c r="AE21" i="1"/>
  <c r="AH21" i="1" s="1"/>
  <c r="AG21" i="1"/>
  <c r="AF16" i="1"/>
  <c r="AI16" i="1" s="1"/>
  <c r="AD6" i="1"/>
  <c r="AG6" i="1" s="1"/>
  <c r="AF6" i="1"/>
  <c r="AI6" i="1" s="1"/>
  <c r="DD31" i="2" l="1"/>
  <c r="DY31" i="2" s="1"/>
  <c r="CK31" i="2"/>
  <c r="AX31" i="2"/>
  <c r="BP31" i="2"/>
  <c r="CM13" i="2"/>
  <c r="BR13" i="2"/>
  <c r="AY35" i="2"/>
  <c r="CL35" i="2"/>
  <c r="BQ35" i="2"/>
  <c r="AX49" i="2"/>
  <c r="CK49" i="2"/>
  <c r="BP49" i="2"/>
  <c r="AX48" i="2"/>
  <c r="CK48" i="2"/>
  <c r="BP48" i="2"/>
  <c r="CN15" i="2"/>
  <c r="BS15" i="2"/>
  <c r="DF36" i="2"/>
  <c r="EA36" i="2" s="1"/>
  <c r="DD44" i="2"/>
  <c r="DY44" i="2" s="1"/>
  <c r="DJ14" i="2"/>
  <c r="EE14" i="2" s="1"/>
  <c r="AY47" i="2"/>
  <c r="CL47" i="2"/>
  <c r="BQ47" i="2"/>
  <c r="DY35" i="2"/>
  <c r="DD35" i="2"/>
  <c r="AX43" i="2"/>
  <c r="CK43" i="2"/>
  <c r="BP43" i="2"/>
  <c r="CO13" i="2"/>
  <c r="BT13" i="2"/>
  <c r="AW31" i="2"/>
  <c r="CJ31" i="2"/>
  <c r="BO31" i="2"/>
  <c r="AY46" i="2"/>
  <c r="CL46" i="2"/>
  <c r="BQ46" i="2"/>
  <c r="DG13" i="2"/>
  <c r="EB13" i="2" s="1"/>
  <c r="DD34" i="2"/>
  <c r="DY34" i="2" s="1"/>
  <c r="DD33" i="2"/>
  <c r="DY33" i="2" s="1"/>
  <c r="AX36" i="2"/>
  <c r="CK36" i="2"/>
  <c r="BP36" i="2"/>
  <c r="AW46" i="2"/>
  <c r="CJ46" i="2"/>
  <c r="BO46" i="2"/>
  <c r="DF40" i="2"/>
  <c r="EA40" i="2" s="1"/>
  <c r="DE40" i="2"/>
  <c r="DZ40" i="2" s="1"/>
  <c r="DD38" i="2"/>
  <c r="DY38" i="2" s="1"/>
  <c r="DG16" i="2"/>
  <c r="EB16" i="2" s="1"/>
  <c r="DF34" i="2"/>
  <c r="EA34" i="2" s="1"/>
  <c r="DL16" i="2"/>
  <c r="EG16" i="2" s="1"/>
  <c r="DD50" i="2"/>
  <c r="DY50" i="2" s="1"/>
  <c r="DI13" i="2"/>
  <c r="ED13" i="2" s="1"/>
  <c r="CN37" i="2"/>
  <c r="BS37" i="2"/>
  <c r="DK17" i="2"/>
  <c r="EF17" i="2" s="1"/>
  <c r="AY31" i="2"/>
  <c r="CL31" i="2"/>
  <c r="BQ31" i="2"/>
  <c r="DE42" i="2"/>
  <c r="DZ42" i="2" s="1"/>
  <c r="CN18" i="2"/>
  <c r="BS18" i="2"/>
  <c r="DE14" i="2"/>
  <c r="DZ14" i="2" s="1"/>
  <c r="AW43" i="2"/>
  <c r="CJ43" i="2"/>
  <c r="BO43" i="2"/>
  <c r="CM15" i="2"/>
  <c r="BR15" i="2"/>
  <c r="DF39" i="2"/>
  <c r="EA39" i="2" s="1"/>
  <c r="DD45" i="2"/>
  <c r="DY45" i="2" s="1"/>
  <c r="AY42" i="2"/>
  <c r="CL42" i="2"/>
  <c r="BQ42" i="2"/>
  <c r="CO18" i="2"/>
  <c r="BT18" i="2"/>
  <c r="AY32" i="2"/>
  <c r="CL32" i="2"/>
  <c r="BQ32" i="2"/>
  <c r="AW41" i="2"/>
  <c r="CJ41" i="2"/>
  <c r="BO41" i="2"/>
  <c r="DD42" i="2"/>
  <c r="DY42" i="2" s="1"/>
  <c r="DI15" i="2"/>
  <c r="ED15" i="2" s="1"/>
  <c r="AY49" i="2"/>
  <c r="CL49" i="2"/>
  <c r="BQ49" i="2"/>
  <c r="AX47" i="2"/>
  <c r="CK47" i="2"/>
  <c r="BP47" i="2"/>
  <c r="DD49" i="2"/>
  <c r="DY49" i="2" s="1"/>
  <c r="DE31" i="2"/>
  <c r="DZ31" i="2" s="1"/>
  <c r="DF35" i="2"/>
  <c r="EA35" i="2" s="1"/>
  <c r="DE49" i="2"/>
  <c r="DZ49" i="2" s="1"/>
  <c r="AW33" i="2"/>
  <c r="CJ33" i="2"/>
  <c r="BO33" i="2"/>
  <c r="AW36" i="2"/>
  <c r="CJ36" i="2"/>
  <c r="BO36" i="2"/>
  <c r="DE48" i="2"/>
  <c r="DZ48" i="2" s="1"/>
  <c r="DE38" i="2"/>
  <c r="DZ38" i="2" s="1"/>
  <c r="DF50" i="2"/>
  <c r="EA50" i="2" s="1"/>
  <c r="DF47" i="2"/>
  <c r="EA47" i="2" s="1"/>
  <c r="CM16" i="2"/>
  <c r="BR16" i="2"/>
  <c r="AY43" i="2"/>
  <c r="CL43" i="2"/>
  <c r="BQ43" i="2"/>
  <c r="CK14" i="2"/>
  <c r="AX14" i="2"/>
  <c r="BP14" i="2"/>
  <c r="AY38" i="2"/>
  <c r="CL38" i="2"/>
  <c r="BQ38" i="2"/>
  <c r="DD37" i="2"/>
  <c r="DY37" i="2" s="1"/>
  <c r="DG15" i="2"/>
  <c r="EB15" i="2" s="1"/>
  <c r="CN45" i="2"/>
  <c r="BS45" i="2"/>
  <c r="DD40" i="2"/>
  <c r="DY40" i="2" s="1"/>
  <c r="DL14" i="2"/>
  <c r="EG14" i="2" s="1"/>
  <c r="AX35" i="2"/>
  <c r="CK35" i="2"/>
  <c r="BP35" i="2"/>
  <c r="AW47" i="2"/>
  <c r="CJ47" i="2"/>
  <c r="BO47" i="2"/>
  <c r="DH33" i="2"/>
  <c r="EC33" i="2" s="1"/>
  <c r="DI18" i="2"/>
  <c r="ED18" i="2" s="1"/>
  <c r="DF41" i="2"/>
  <c r="EA41" i="2" s="1"/>
  <c r="DE44" i="2"/>
  <c r="DZ44" i="2" s="1"/>
  <c r="DD41" i="2"/>
  <c r="DY41" i="2" s="1"/>
  <c r="AW32" i="2"/>
  <c r="CJ32" i="2"/>
  <c r="BO32" i="2"/>
  <c r="DE50" i="2"/>
  <c r="DZ50" i="2" s="1"/>
  <c r="DE32" i="2"/>
  <c r="DZ32" i="2" s="1"/>
  <c r="AX46" i="2"/>
  <c r="CK46" i="2"/>
  <c r="BP46" i="2"/>
  <c r="AY45" i="2"/>
  <c r="CL45" i="2"/>
  <c r="BQ45" i="2"/>
  <c r="DF37" i="2"/>
  <c r="EA37" i="2" s="1"/>
  <c r="AW48" i="2"/>
  <c r="CJ48" i="2"/>
  <c r="BO48" i="2"/>
  <c r="CN41" i="2"/>
  <c r="BS41" i="2"/>
  <c r="AY33" i="2"/>
  <c r="CL33" i="2"/>
  <c r="BQ33" i="2"/>
  <c r="AW44" i="2"/>
  <c r="CJ44" i="2"/>
  <c r="BO44" i="2"/>
  <c r="AW35" i="2"/>
  <c r="CJ35" i="2"/>
  <c r="BO35" i="2"/>
  <c r="DE43" i="2"/>
  <c r="DZ43" i="2" s="1"/>
  <c r="DF48" i="2"/>
  <c r="EA48" i="2" s="1"/>
  <c r="AX34" i="2"/>
  <c r="CK34" i="2"/>
  <c r="BP34" i="2"/>
  <c r="CO17" i="2"/>
  <c r="BT17" i="2"/>
  <c r="DF46" i="2"/>
  <c r="EA46" i="2" s="1"/>
  <c r="AW34" i="2"/>
  <c r="CJ34" i="2"/>
  <c r="BO34" i="2"/>
  <c r="DD17" i="2"/>
  <c r="DY17" i="2" s="1"/>
  <c r="DE36" i="2"/>
  <c r="DZ36" i="2" s="1"/>
  <c r="DD46" i="2"/>
  <c r="DY46" i="2" s="1"/>
  <c r="CN16" i="2"/>
  <c r="BS16" i="2"/>
  <c r="DH15" i="2"/>
  <c r="EC15" i="2" s="1"/>
  <c r="DH41" i="2"/>
  <c r="EC41" i="2" s="1"/>
  <c r="AY40" i="2"/>
  <c r="CL40" i="2"/>
  <c r="BQ40" i="2"/>
  <c r="AY36" i="2"/>
  <c r="CL36" i="2"/>
  <c r="BQ36" i="2"/>
  <c r="AX40" i="2"/>
  <c r="CK40" i="2"/>
  <c r="BP40" i="2"/>
  <c r="AW38" i="2"/>
  <c r="CJ38" i="2"/>
  <c r="BO38" i="2"/>
  <c r="AY34" i="2"/>
  <c r="CL34" i="2"/>
  <c r="BQ34" i="2"/>
  <c r="AW50" i="2"/>
  <c r="CJ50" i="2"/>
  <c r="BO50" i="2"/>
  <c r="DH37" i="2"/>
  <c r="EC37" i="2" s="1"/>
  <c r="DF31" i="2"/>
  <c r="EA31" i="2" s="1"/>
  <c r="AX42" i="2"/>
  <c r="CK42" i="2"/>
  <c r="BP42" i="2"/>
  <c r="DJ18" i="2"/>
  <c r="EE18" i="2" s="1"/>
  <c r="DD43" i="2"/>
  <c r="DY43" i="2" s="1"/>
  <c r="DF38" i="2"/>
  <c r="EA38" i="2" s="1"/>
  <c r="AY44" i="2"/>
  <c r="CL44" i="2"/>
  <c r="BQ44" i="2"/>
  <c r="CN39" i="2"/>
  <c r="BS39" i="2"/>
  <c r="AY39" i="2"/>
  <c r="CL39" i="2"/>
  <c r="BQ39" i="2"/>
  <c r="AW45" i="2"/>
  <c r="CJ45" i="2"/>
  <c r="BO45" i="2"/>
  <c r="DF42" i="2"/>
  <c r="EA42" i="2" s="1"/>
  <c r="CN33" i="2"/>
  <c r="BS33" i="2"/>
  <c r="DF32" i="2"/>
  <c r="EA32" i="2" s="1"/>
  <c r="AW42" i="2"/>
  <c r="CJ42" i="2"/>
  <c r="BO42" i="2"/>
  <c r="DF49" i="2"/>
  <c r="EA49" i="2" s="1"/>
  <c r="DE47" i="2"/>
  <c r="DZ47" i="2" s="1"/>
  <c r="AW49" i="2"/>
  <c r="CJ49" i="2"/>
  <c r="BO49" i="2"/>
  <c r="CN13" i="2"/>
  <c r="BS13" i="2"/>
  <c r="AW39" i="2"/>
  <c r="CJ39" i="2"/>
  <c r="BO39" i="2"/>
  <c r="DI17" i="2"/>
  <c r="ED17" i="2" s="1"/>
  <c r="CJ17" i="2"/>
  <c r="BO17" i="2"/>
  <c r="AW17" i="2"/>
  <c r="DD36" i="2"/>
  <c r="DY36" i="2" s="1"/>
  <c r="DD48" i="2"/>
  <c r="DY48" i="2" s="1"/>
  <c r="DH16" i="2"/>
  <c r="EC16" i="2" s="1"/>
  <c r="AX38" i="2"/>
  <c r="CK38" i="2"/>
  <c r="BP38" i="2"/>
  <c r="DF33" i="2"/>
  <c r="EA33" i="2" s="1"/>
  <c r="AY50" i="2"/>
  <c r="CL50" i="2"/>
  <c r="BQ50" i="2"/>
  <c r="AY48" i="2"/>
  <c r="CL48" i="2"/>
  <c r="BQ48" i="2"/>
  <c r="DF43" i="2"/>
  <c r="EA43" i="2" s="1"/>
  <c r="DH18" i="2"/>
  <c r="EC18" i="2" s="1"/>
  <c r="DE34" i="2"/>
  <c r="DZ34" i="2" s="1"/>
  <c r="DF44" i="2"/>
  <c r="EA44" i="2" s="1"/>
  <c r="AW37" i="2"/>
  <c r="CJ37" i="2"/>
  <c r="BO37" i="2"/>
  <c r="DH45" i="2"/>
  <c r="EC45" i="2" s="1"/>
  <c r="DH39" i="2"/>
  <c r="EC39" i="2" s="1"/>
  <c r="AW40" i="2"/>
  <c r="CJ40" i="2"/>
  <c r="BO40" i="2"/>
  <c r="DE35" i="2"/>
  <c r="DZ35" i="2" s="1"/>
  <c r="DD47" i="2"/>
  <c r="DY47" i="2" s="1"/>
  <c r="AY41" i="2"/>
  <c r="CL41" i="2"/>
  <c r="BQ41" i="2"/>
  <c r="AX44" i="2"/>
  <c r="CK44" i="2"/>
  <c r="BP44" i="2"/>
  <c r="DD32" i="2"/>
  <c r="DY32" i="2" s="1"/>
  <c r="CO15" i="2"/>
  <c r="BT15" i="2"/>
  <c r="AX50" i="2"/>
  <c r="CK50" i="2"/>
  <c r="BP50" i="2"/>
  <c r="AX32" i="2"/>
  <c r="CK32" i="2"/>
  <c r="BP32" i="2"/>
  <c r="DE46" i="2"/>
  <c r="DZ46" i="2" s="1"/>
  <c r="DH13" i="2"/>
  <c r="EC13" i="2" s="1"/>
  <c r="DF45" i="2"/>
  <c r="EA45" i="2" s="1"/>
  <c r="DD39" i="2"/>
  <c r="DY39" i="2" s="1"/>
  <c r="AY37" i="2"/>
  <c r="CL37" i="2"/>
  <c r="BQ37" i="2"/>
  <c r="DH12" i="2"/>
  <c r="EC12" i="2" s="1"/>
  <c r="DD12" i="2"/>
  <c r="DY12" i="2" s="1"/>
  <c r="CL12" i="2"/>
  <c r="AY12" i="2"/>
  <c r="BQ12" i="2"/>
  <c r="CN12" i="2"/>
  <c r="BS12" i="2"/>
  <c r="CJ12" i="2"/>
  <c r="AW12" i="2"/>
  <c r="BO12" i="2"/>
  <c r="DF12" i="2"/>
  <c r="EA12" i="2" s="1"/>
  <c r="CO37" i="2" l="1"/>
  <c r="BT37" i="2"/>
  <c r="CO41" i="2"/>
  <c r="BT41" i="2"/>
  <c r="DH32" i="2"/>
  <c r="EC32" i="2" s="1"/>
  <c r="CN44" i="2"/>
  <c r="BS44" i="2"/>
  <c r="EB40" i="2"/>
  <c r="DG40" i="2"/>
  <c r="CO48" i="2"/>
  <c r="BT48" i="2"/>
  <c r="CN38" i="2"/>
  <c r="BS38" i="2"/>
  <c r="DG17" i="2"/>
  <c r="EB17" i="2" s="1"/>
  <c r="DG39" i="2"/>
  <c r="EB39" i="2" s="1"/>
  <c r="DG42" i="2"/>
  <c r="EB42" i="2" s="1"/>
  <c r="DI39" i="2"/>
  <c r="ED39" i="2" s="1"/>
  <c r="CN42" i="2"/>
  <c r="BS42" i="2"/>
  <c r="DI34" i="2"/>
  <c r="ED34" i="2" s="1"/>
  <c r="CN40" i="2"/>
  <c r="BS40" i="2"/>
  <c r="DI40" i="2"/>
  <c r="ED40" i="2" s="1"/>
  <c r="DL17" i="2"/>
  <c r="EG17" i="2" s="1"/>
  <c r="CN34" i="2"/>
  <c r="BS34" i="2"/>
  <c r="DG44" i="2"/>
  <c r="EB44" i="2" s="1"/>
  <c r="DG48" i="2"/>
  <c r="EB48" i="2" s="1"/>
  <c r="DH46" i="2"/>
  <c r="EC46" i="2" s="1"/>
  <c r="DG47" i="2"/>
  <c r="EB47" i="2" s="1"/>
  <c r="DI38" i="2"/>
  <c r="ED38" i="2" s="1"/>
  <c r="CN14" i="2"/>
  <c r="BS14" i="2"/>
  <c r="CO43" i="2"/>
  <c r="BT43" i="2"/>
  <c r="CM33" i="2"/>
  <c r="BR33" i="2"/>
  <c r="DI49" i="2"/>
  <c r="ED49" i="2" s="1"/>
  <c r="CO32" i="2"/>
  <c r="BT32" i="2"/>
  <c r="DG43" i="2"/>
  <c r="EB43" i="2" s="1"/>
  <c r="DG46" i="2"/>
  <c r="EB46" i="2" s="1"/>
  <c r="DI46" i="2"/>
  <c r="ED46" i="2" s="1"/>
  <c r="DH43" i="2"/>
  <c r="EC43" i="2" s="1"/>
  <c r="DH48" i="2"/>
  <c r="EC48" i="2" s="1"/>
  <c r="CO35" i="2"/>
  <c r="BT35" i="2"/>
  <c r="CN31" i="2"/>
  <c r="BS31" i="2"/>
  <c r="DI37" i="2"/>
  <c r="ED37" i="2" s="1"/>
  <c r="CN50" i="2"/>
  <c r="BS50" i="2"/>
  <c r="CM37" i="2"/>
  <c r="BR37" i="2"/>
  <c r="DG49" i="2"/>
  <c r="EB49" i="2" s="1"/>
  <c r="DK33" i="2"/>
  <c r="EF33" i="2" s="1"/>
  <c r="DG45" i="2"/>
  <c r="EB45" i="2" s="1"/>
  <c r="DI44" i="2"/>
  <c r="ED44" i="2" s="1"/>
  <c r="DG50" i="2"/>
  <c r="EB50" i="2" s="1"/>
  <c r="CM38" i="2"/>
  <c r="BR38" i="2"/>
  <c r="DI36" i="2"/>
  <c r="ED36" i="2" s="1"/>
  <c r="CM34" i="2"/>
  <c r="BR34" i="2"/>
  <c r="DG35" i="2"/>
  <c r="EB35" i="2" s="1"/>
  <c r="CO33" i="2"/>
  <c r="BT33" i="2"/>
  <c r="DI45" i="2"/>
  <c r="ED45" i="2" s="1"/>
  <c r="CM32" i="2"/>
  <c r="BR32" i="2"/>
  <c r="CN35" i="2"/>
  <c r="BS35" i="2"/>
  <c r="DJ16" i="2"/>
  <c r="EE16" i="2" s="1"/>
  <c r="CM36" i="2"/>
  <c r="BR36" i="2"/>
  <c r="DH47" i="2"/>
  <c r="EC47" i="2" s="1"/>
  <c r="CM41" i="2"/>
  <c r="BR41" i="2"/>
  <c r="DL18" i="2"/>
  <c r="EG18" i="2" s="1"/>
  <c r="CO42" i="2"/>
  <c r="BT42" i="2"/>
  <c r="DK18" i="2"/>
  <c r="EF18" i="2" s="1"/>
  <c r="DI31" i="2"/>
  <c r="ED31" i="2" s="1"/>
  <c r="CN36" i="2"/>
  <c r="BS36" i="2"/>
  <c r="CM31" i="2"/>
  <c r="BR31" i="2"/>
  <c r="DI47" i="2"/>
  <c r="ED47" i="2" s="1"/>
  <c r="CN49" i="2"/>
  <c r="BS49" i="2"/>
  <c r="DJ13" i="2"/>
  <c r="EE13" i="2" s="1"/>
  <c r="DI41" i="2"/>
  <c r="ED41" i="2" s="1"/>
  <c r="DI50" i="2"/>
  <c r="ED50" i="2" s="1"/>
  <c r="CN32" i="2"/>
  <c r="BS32" i="2"/>
  <c r="DL15" i="2"/>
  <c r="EG15" i="2" s="1"/>
  <c r="DH44" i="2"/>
  <c r="EC44" i="2" s="1"/>
  <c r="CM40" i="2"/>
  <c r="BR40" i="2"/>
  <c r="DI48" i="2"/>
  <c r="ED48" i="2" s="1"/>
  <c r="DH38" i="2"/>
  <c r="EC38" i="2" s="1"/>
  <c r="CM39" i="2"/>
  <c r="BR39" i="2"/>
  <c r="CM42" i="2"/>
  <c r="BR42" i="2"/>
  <c r="CO39" i="2"/>
  <c r="BT39" i="2"/>
  <c r="DH42" i="2"/>
  <c r="EC42" i="2" s="1"/>
  <c r="CO34" i="2"/>
  <c r="BT34" i="2"/>
  <c r="DH40" i="2"/>
  <c r="EC40" i="2" s="1"/>
  <c r="CO40" i="2"/>
  <c r="BT40" i="2"/>
  <c r="DH34" i="2"/>
  <c r="EC34" i="2" s="1"/>
  <c r="CM44" i="2"/>
  <c r="BR44" i="2"/>
  <c r="DK41" i="2"/>
  <c r="EF41" i="2" s="1"/>
  <c r="CM48" i="2"/>
  <c r="BR48" i="2"/>
  <c r="CN46" i="2"/>
  <c r="BS46" i="2"/>
  <c r="CM47" i="2"/>
  <c r="BR47" i="2"/>
  <c r="DK45" i="2"/>
  <c r="EF45" i="2" s="1"/>
  <c r="CO38" i="2"/>
  <c r="BT38" i="2"/>
  <c r="DI43" i="2"/>
  <c r="ED43" i="2" s="1"/>
  <c r="DG33" i="2"/>
  <c r="EB33" i="2" s="1"/>
  <c r="CO49" i="2"/>
  <c r="BT49" i="2"/>
  <c r="DI32" i="2"/>
  <c r="ED32" i="2" s="1"/>
  <c r="DJ15" i="2"/>
  <c r="EE15" i="2" s="1"/>
  <c r="CM43" i="2"/>
  <c r="BR43" i="2"/>
  <c r="DK37" i="2"/>
  <c r="EF37" i="2" s="1"/>
  <c r="CM46" i="2"/>
  <c r="BR46" i="2"/>
  <c r="CO46" i="2"/>
  <c r="BT46" i="2"/>
  <c r="DL13" i="2"/>
  <c r="EG13" i="2" s="1"/>
  <c r="CN43" i="2"/>
  <c r="BS43" i="2"/>
  <c r="DK15" i="2"/>
  <c r="EF15" i="2" s="1"/>
  <c r="CN48" i="2"/>
  <c r="BS48" i="2"/>
  <c r="DI35" i="2"/>
  <c r="ED35" i="2" s="1"/>
  <c r="DH50" i="2"/>
  <c r="EC50" i="2" s="1"/>
  <c r="DG37" i="2"/>
  <c r="EB37" i="2" s="1"/>
  <c r="CO50" i="2"/>
  <c r="BT50" i="2"/>
  <c r="CM17" i="2"/>
  <c r="BR17" i="2"/>
  <c r="DK13" i="2"/>
  <c r="EF13" i="2" s="1"/>
  <c r="CM49" i="2"/>
  <c r="BR49" i="2"/>
  <c r="CM45" i="2"/>
  <c r="BR45" i="2"/>
  <c r="DK39" i="2"/>
  <c r="EF39" i="2" s="1"/>
  <c r="CO44" i="2"/>
  <c r="BT44" i="2"/>
  <c r="CM50" i="2"/>
  <c r="BR50" i="2"/>
  <c r="DG38" i="2"/>
  <c r="EB38" i="2" s="1"/>
  <c r="CO36" i="2"/>
  <c r="BT36" i="2"/>
  <c r="DK16" i="2"/>
  <c r="EF16" i="2" s="1"/>
  <c r="DG34" i="2"/>
  <c r="EB34" i="2" s="1"/>
  <c r="CM35" i="2"/>
  <c r="BR35" i="2"/>
  <c r="DI33" i="2"/>
  <c r="ED33" i="2" s="1"/>
  <c r="CO45" i="2"/>
  <c r="BT45" i="2"/>
  <c r="DG32" i="2"/>
  <c r="EB32" i="2" s="1"/>
  <c r="DH35" i="2"/>
  <c r="EC35" i="2" s="1"/>
  <c r="DH14" i="2"/>
  <c r="EC14" i="2" s="1"/>
  <c r="DG36" i="2"/>
  <c r="EB36" i="2" s="1"/>
  <c r="CN47" i="2"/>
  <c r="BS47" i="2"/>
  <c r="DG41" i="2"/>
  <c r="EB41" i="2" s="1"/>
  <c r="DI42" i="2"/>
  <c r="ED42" i="2" s="1"/>
  <c r="CO31" i="2"/>
  <c r="BT31" i="2"/>
  <c r="DH36" i="2"/>
  <c r="EC36" i="2" s="1"/>
  <c r="DG31" i="2"/>
  <c r="EB31" i="2" s="1"/>
  <c r="CO47" i="2"/>
  <c r="BT47" i="2"/>
  <c r="DH49" i="2"/>
  <c r="EC49" i="2" s="1"/>
  <c r="DH31" i="2"/>
  <c r="EC31" i="2" s="1"/>
  <c r="DI12" i="2"/>
  <c r="ED12" i="2" s="1"/>
  <c r="DG12" i="2"/>
  <c r="EB12" i="2" s="1"/>
  <c r="CM12" i="2"/>
  <c r="BR12" i="2"/>
  <c r="CO12" i="2"/>
  <c r="BT12" i="2"/>
  <c r="DK12" i="2"/>
  <c r="EF12" i="2" s="1"/>
  <c r="DL45" i="2" l="1"/>
  <c r="EG45" i="2" s="1"/>
  <c r="DL47" i="2"/>
  <c r="EG47" i="2" s="1"/>
  <c r="DJ46" i="2"/>
  <c r="EE46" i="2" s="1"/>
  <c r="DJ43" i="2"/>
  <c r="EE43" i="2" s="1"/>
  <c r="DL38" i="2"/>
  <c r="EG38" i="2" s="1"/>
  <c r="DJ47" i="2"/>
  <c r="EE47" i="2" s="1"/>
  <c r="DJ48" i="2"/>
  <c r="EE48" i="2" s="1"/>
  <c r="DJ44" i="2"/>
  <c r="EE44" i="2" s="1"/>
  <c r="DL40" i="2"/>
  <c r="EG40" i="2" s="1"/>
  <c r="DL34" i="2"/>
  <c r="EG34" i="2" s="1"/>
  <c r="DL39" i="2"/>
  <c r="EG39" i="2" s="1"/>
  <c r="DJ39" i="2"/>
  <c r="EE39" i="2" s="1"/>
  <c r="DK32" i="2"/>
  <c r="EF32" i="2" s="1"/>
  <c r="DK49" i="2"/>
  <c r="EF49" i="2" s="1"/>
  <c r="DJ31" i="2"/>
  <c r="EE31" i="2" s="1"/>
  <c r="DL42" i="2"/>
  <c r="EG42" i="2" s="1"/>
  <c r="DJ41" i="2"/>
  <c r="EE41" i="2" s="1"/>
  <c r="DJ36" i="2"/>
  <c r="EE36" i="2" s="1"/>
  <c r="DK35" i="2"/>
  <c r="EF35" i="2" s="1"/>
  <c r="DK50" i="2"/>
  <c r="EF50" i="2" s="1"/>
  <c r="DK31" i="2"/>
  <c r="EF31" i="2" s="1"/>
  <c r="DL43" i="2"/>
  <c r="EG43" i="2" s="1"/>
  <c r="DK40" i="2"/>
  <c r="EF40" i="2" s="1"/>
  <c r="DK42" i="2"/>
  <c r="EF42" i="2" s="1"/>
  <c r="DL48" i="2"/>
  <c r="EG48" i="2" s="1"/>
  <c r="DK44" i="2"/>
  <c r="EF44" i="2" s="1"/>
  <c r="DL41" i="2"/>
  <c r="EG41" i="2" s="1"/>
  <c r="DL36" i="2"/>
  <c r="EG36" i="2" s="1"/>
  <c r="DJ50" i="2"/>
  <c r="EE50" i="2" s="1"/>
  <c r="DJ49" i="2"/>
  <c r="EE49" i="2" s="1"/>
  <c r="DJ17" i="2"/>
  <c r="EE17" i="2" s="1"/>
  <c r="DK47" i="2"/>
  <c r="EF47" i="2" s="1"/>
  <c r="DL46" i="2"/>
  <c r="EG46" i="2" s="1"/>
  <c r="DL49" i="2"/>
  <c r="EG49" i="2" s="1"/>
  <c r="DK46" i="2"/>
  <c r="EF46" i="2" s="1"/>
  <c r="DJ42" i="2"/>
  <c r="EE42" i="2" s="1"/>
  <c r="DJ40" i="2"/>
  <c r="EE40" i="2" s="1"/>
  <c r="DK36" i="2"/>
  <c r="EF36" i="2" s="1"/>
  <c r="DJ32" i="2"/>
  <c r="EE32" i="2" s="1"/>
  <c r="DL33" i="2"/>
  <c r="EG33" i="2" s="1"/>
  <c r="DJ34" i="2"/>
  <c r="EE34" i="2" s="1"/>
  <c r="DJ38" i="2"/>
  <c r="EE38" i="2" s="1"/>
  <c r="DJ37" i="2"/>
  <c r="EE37" i="2" s="1"/>
  <c r="DL35" i="2"/>
  <c r="EG35" i="2" s="1"/>
  <c r="DL32" i="2"/>
  <c r="EG32" i="2" s="1"/>
  <c r="DJ33" i="2"/>
  <c r="EE33" i="2" s="1"/>
  <c r="DK14" i="2"/>
  <c r="EF14" i="2" s="1"/>
  <c r="DK34" i="2"/>
  <c r="EF34" i="2" s="1"/>
  <c r="DK38" i="2"/>
  <c r="EF38" i="2" s="1"/>
  <c r="DL37" i="2"/>
  <c r="EG37" i="2" s="1"/>
  <c r="DL31" i="2"/>
  <c r="EG31" i="2" s="1"/>
  <c r="DJ35" i="2"/>
  <c r="EE35" i="2" s="1"/>
  <c r="DL44" i="2"/>
  <c r="EG44" i="2" s="1"/>
  <c r="DJ45" i="2"/>
  <c r="EE45" i="2" s="1"/>
  <c r="DL50" i="2"/>
  <c r="EG50" i="2" s="1"/>
  <c r="DK48" i="2"/>
  <c r="EF48" i="2" s="1"/>
  <c r="DK43" i="2"/>
  <c r="EF43" i="2" s="1"/>
  <c r="DL12" i="2"/>
  <c r="EG12" i="2" s="1"/>
  <c r="DJ12" i="2"/>
  <c r="EE12" i="2" s="1"/>
</calcChain>
</file>

<file path=xl/sharedStrings.xml><?xml version="1.0" encoding="utf-8"?>
<sst xmlns="http://schemas.openxmlformats.org/spreadsheetml/2006/main" count="781" uniqueCount="256">
  <si>
    <t>Gold Rate</t>
  </si>
  <si>
    <t>14 kt</t>
  </si>
  <si>
    <t xml:space="preserve">18 kt </t>
  </si>
  <si>
    <t>Labour</t>
  </si>
  <si>
    <t>Final Price</t>
  </si>
  <si>
    <t>Item</t>
  </si>
  <si>
    <t>Ring</t>
  </si>
  <si>
    <t>Gold Price</t>
  </si>
  <si>
    <t>Gold Weight</t>
  </si>
  <si>
    <t>SKU</t>
  </si>
  <si>
    <t>LR-0029</t>
  </si>
  <si>
    <t>LR-0040</t>
  </si>
  <si>
    <t>Product Heading/Name</t>
  </si>
  <si>
    <t>Description</t>
  </si>
  <si>
    <t>Image Link</t>
  </si>
  <si>
    <t>Gold Weight(grams)</t>
  </si>
  <si>
    <t>Price Gold</t>
  </si>
  <si>
    <t>Diamonds</t>
  </si>
  <si>
    <t>GST</t>
  </si>
  <si>
    <t>Total Price</t>
  </si>
  <si>
    <t>Gross Weight</t>
  </si>
  <si>
    <t xml:space="preserve">Lab Grown CVD Type IIA Diamonds
</t>
  </si>
  <si>
    <t xml:space="preserve">Example </t>
  </si>
  <si>
    <t>9 KT</t>
  </si>
  <si>
    <t>14 KT</t>
  </si>
  <si>
    <t>18 KT</t>
  </si>
  <si>
    <t>Diamond Bloom - White Gold bracelete metal purity in 9kt, 14kt ,18kt. available in white gold, rose gold, yellow gold.</t>
  </si>
  <si>
    <t>✨ Product Highlights
Features marquise-cut diamonds known for their elegant and elongated sparkle.
Crafted in premium white gold for a timeless and luxurious finish.
Designed in a delicate floral pattern that adds a touch of sophistication.
Perfect blend of modern style and classic charm.
Ideal for special occasions or daily elegance.
Symbol of grace, confidence, and everlasting beauty.</t>
  </si>
  <si>
    <t>https://drive.google.com/file/d/1wRTji3m7e5wGgJ_EW1fceXtyLhFQ3L2l/view?usp=sharing</t>
  </si>
  <si>
    <t>14.05 Ct</t>
  </si>
  <si>
    <t>round diamond gold bracelte .. available in white, yellow , or rose gold purity in 9kt, 14kt ,18kt for metal</t>
  </si>
  <si>
    <t>https://drive.google.com/file/d/1vBKEEgl-8D930RpLnt0H4honMIiEh8zP/view?usp=sharing</t>
  </si>
  <si>
    <t>13.198 Ct</t>
  </si>
  <si>
    <t>Eterna Radiance Gold Tennis Bracelet ,, (9kt , 14kt ,18kt ) Metal purity. availablr in white gold , yellow gold , rose gold</t>
  </si>
  <si>
    <t>Add effortless elegance to your every day with the Eterna Glow Gold Tennis Bracelet — a timeless piece designed to sparkle as bright as you do. Each bracelet features perfectly set shimmering stones that catch the light with every movement, giving your wrist a radiant, refined look.
Available in Rose Gold, White Gold, or Yellow Gold, and crafted in your choice of 9kt, 14kt, or 18kt gold — it’s easy to find your perfect match. Whether you’re dressing up for a night out or adding a touch of luxury to your daily style, this bracelet is made to shine with every occasion.
✨ Elegant. Versatile. Unforgettable.
Your new favorite bracelet is waiting — choose your color and gold purity to make it truly yours.</t>
  </si>
  <si>
    <t>https://drive.google.com/file/d/1tF-hz-MVOLgqiEWss8hfv54lvqfJ4WfM/view?usp=sharing</t>
  </si>
  <si>
    <t>4.56 Ct</t>
  </si>
  <si>
    <t>Aurora Allure Diamond Mix-Cut Bracelet , (9kt , 14kt ,18kt ) Metal purity. availablr in white gold , yellow gold , rose gold</t>
  </si>
  <si>
    <t>Make every moment shine with the Aurora Allure Diamond Mix-Cut Bracelet — a dazzling harmony of shapes and sparkle. This bracelet brings together a stunning mix of diamond cuts, creating a unique and eye-catching design that reflects beauty from every angle.
Crafted with care and available in White Gold, Rose Gold, and Yellow Gold, you can choose from 9kt, 14kt, or 18kt gold purity to match your style and preference.
Elegant, radiant, and full of charm — this bracelet is perfect for those who love something truly special and one-of-a-kind. Whether it’s a gift or a personal indulgence, the Aurora Allure Bracelet adds timeless brilliance to any look.</t>
  </si>
  <si>
    <t>https://drive.google.com/file/d/1VIpHiSIdAe-Qi98zrJciKhQl6HuocMfz/view?usp=sharing</t>
  </si>
  <si>
    <t>1.04 Ct</t>
  </si>
  <si>
    <t>Celeste Bloom Diamond Stud Earrings : 9kt , 14kt ,18kt ) Metal purity. availablr in white gold , yellow gold , rose gold</t>
  </si>
  <si>
    <t>Add a touch of timeless sparkle with the Celeste Bloom Diamond Stud Earrings — a stunning cluster of round brilliant diamonds arranged in a delicate floral pattern. Each earring shines with perfect symmetry and brilliance, creating a radiant look that never goes out of style.
Available in White Gold, Rose Gold, and Yellow Gold, and crafted in your choice of 9kt, 14kt, or 18kt purity — these earrings bring together classic beauty and modern craftsmanship.
Perfect for everyday elegance or special occasions, the Celeste Bloom Earrings make every moment shine a little brighter.
✨ Classic. Radiant. Forever Beautiful.</t>
  </si>
  <si>
    <t>0.42 Ct</t>
  </si>
  <si>
    <t>Dazzling Diamond Circle Stud Earrings 9kt , 14kt ,18kt ) Metal purity. availablr in white gold , yellow gold , rose gold</t>
  </si>
  <si>
    <t>Sparkle from every angle! These Rose Gold Diamond Halo Studs offer incredible brilliance and a romantic touch. The classic halo design makes the center diamond look significantly bigger. Perfect for effortless glamour.</t>
  </si>
  <si>
    <t>https://drive.google.com/file/d/16xTG4lETBVXcyUq2jNdpyBgQPeVAnMjn/view?usp=sharing</t>
  </si>
  <si>
    <t>2.53 Ct</t>
  </si>
  <si>
    <t>Radiant Hexa Elegance: Rose Gold Diamond Halo Stud Earrings</t>
  </si>
  <si>
    <t>Subtle sparkle. Bold symmetry. The Radiant Hexa Elegance earrings — crafted in 18K rose gold with pavé diamonds. #ModernLuxury</t>
  </si>
  <si>
    <t>https://drive.google.com/file/d/18u6ov_TGvZdMcT-thMqUcbJSRz4K3Xbx/view?usp=sharing</t>
  </si>
  <si>
    <t>2.98 Ct</t>
  </si>
  <si>
    <t>Classic Round Brilliant Diamond Stud Earrings</t>
  </si>
  <si>
    <t>These elegant diamond stud earrings feature two dazzling round brilliant-cut diamonds set in timeless four-prong rose gold settings. Designed to capture and reflect light from every angle, these studs offer a radiant sparkle perfect for any occasion. The warm tone of rose gold beautifully complements the brilliance of the diamonds, creating a refined balance of sophistication and modern charm. Ideal for everyday wear or special events, these earrings are a timeless addition to any jewelry collection.</t>
  </si>
  <si>
    <t>https://drive.google.com/file/d/1hUv2758iTiUsZow7FTHpziS-qBrQCo9e/view?usp=sharing</t>
  </si>
  <si>
    <t>4.00 Ct</t>
  </si>
  <si>
    <t xml:space="preserve">Radiant Harmony Pear and Round Diamond Ring
</t>
  </si>
  <si>
    <t>Exuding timeless sophistication, the Radiant Harmony Diamond Ring in Rose Gold is a stunning expression of modern luxury. This exquisite piece features a captivating pear-shaped diamond halo gracefully paired with a brilliant round-cut diamond in an elegant bypass design. Set in warm, polished rose gold, the ring embodies a perfect balance of brilliance and romance. Each diamond is meticulously placed to reflect light from every angle, creating a mesmerizing sparkle that symbolizes eternal elegance and refined beauty — an unforgettable statement of grace and allure.</t>
  </si>
  <si>
    <t>https://drive.google.com/file/d/17a3Z8mCsTqcIpdI_hIlnADEBHDVB563H/view?usp=sharing</t>
  </si>
  <si>
    <t>1.15 Ct</t>
  </si>
  <si>
    <t>Celestial Grace Cushion-Cut Diamond Ring</t>
  </si>
  <si>
    <t>The Celestial Grace Cushion-Cut Diamond Ring embodies timeless elegance. A luminous cushion-cut diamond takes center stage, flanked by two sparkling side stones that enhance its radiant brilliance. this ring exudes refined sophistication and effortless luxury.</t>
  </si>
  <si>
    <t>DDLR-033-01@W-#viwe4.png</t>
  </si>
  <si>
    <t>2.09 Ct</t>
  </si>
  <si>
    <t>Golden Radiance Round Brilliant Diamond Ring</t>
  </si>
  <si>
    <t>The Golden Radiance Round Brilliant Diamond Ring shines with timeless allure. A flawless round diamond is beautifully set in warm yellow gold, accented by delicate side stones for a touch of refined brilliance and grace.</t>
  </si>
  <si>
    <t>https://drive.google.com/file/d/1D8ki2bl1Iqe8iaIGCz39SEZgud5R8FeZ/view?usp=sharing</t>
  </si>
  <si>
    <t>1.78 Ct</t>
  </si>
  <si>
    <t>Eternal Luminesse Radiant-Cut Diamond Ring</t>
  </si>
  <si>
    <t>The Eternal Luminesse Radiant-Cut Diamond Ring features a striking radiant-cut center stone flanked by two baguette diamonds. Set in sleek platinum, it embodies modern elegance and timeless sophistication.</t>
  </si>
  <si>
    <t>https://drive.google.com/file/d/1ZhY4AGFs0ZN7qFLtdKUrixPyLTGlX9-O/view?usp=sharing</t>
  </si>
  <si>
    <t>1.70 Ct</t>
  </si>
  <si>
    <t>Regal Trilliance Round Diamond Ring</t>
  </si>
  <si>
    <t>The Regal Trilliance Diamond Ring in Platinum showcases three exquisite round diamonds symbolizing the past, present, and future. Crafted in lustrous platinum, it radiates timeless luxury and refined brilliance.</t>
  </si>
  <si>
    <t>https://drive.google.com/file/d/1nGzn2JoS5v36BR_50NwZOjvBjGH5IoLi/view?usp=sharing</t>
  </si>
  <si>
    <t>1.02 Ct</t>
  </si>
  <si>
    <t>Elysian Oval Diamond Eternity Band</t>
  </si>
  <si>
    <t>The Elysian Oval Diamond Eternity Band features a seamless circle of perfectly matched oval diamonds, symbolizing endless love and brilliance. Set in polished platinum, it embodies timeless elegance and refined luxury.</t>
  </si>
  <si>
    <t>https://drive.google.com/file/d/1iPf3ZzRkDFhj_rGDlbekBVG31p3axO77/view?usp=sharing</t>
  </si>
  <si>
    <t>1.80 Ct</t>
  </si>
  <si>
    <t>Aurora Round Diamond Eternity Band in Rose Gold</t>
  </si>
  <si>
    <t>The Aurora Round Diamond Eternity Band in Rose Gold radiates timeless brilliance with perfectly matched round diamonds encircling the band. Set in warm rose gold, it embodies everlasting elegance and refined luxury.</t>
  </si>
  <si>
    <t>https://drive.google.com/file/d/1RtKyXkMwnA-Dimo0lp2H3nxM7GTKp6c0/view?usp=sharing</t>
  </si>
  <si>
    <t>5.25 Ct</t>
  </si>
  <si>
    <t>Trinity Trillion-Cut Diamond Pendant in Rose Gold</t>
  </si>
  <si>
    <t>The Trinity Trillion-Cut Diamond Pendant in Rose Gold captures a perfect harmony of brilliance and design. A striking trillion-cut diamond rests elegantly in a warm rose gold setting, showcasing its unique geometry and exceptional fire. Radiating modern sophistication with a touch of timeless allure, this pendant is a refined statement of luxury and grace.</t>
  </si>
  <si>
    <t>https://drive.google.com/file/d/1q-JUPuXyjaysMIVmrH-OSAV9ey48lRvl/view?usp=sharing</t>
  </si>
  <si>
    <t>0.74 Ct</t>
  </si>
  <si>
    <t>Celestia Hexagon Diamond Medallion Pendant</t>
  </si>
  <si>
    <t>The Celestia Hexagon Diamond Medallion in Rose Gold radiates brilliance through a mesmerizing hexagonal design adorned with pavé-set diamonds. Centered by a captivating round diamond, it embodies modern geometry and timeless luxury.</t>
  </si>
  <si>
    <t>https://drive.google.com/file/d/18KSeKPNtcrPuymTbLmV9BimNfTdvgKQp/view?usp=sharing</t>
  </si>
  <si>
    <t>0.60 Ct</t>
  </si>
  <si>
    <t>Luna Crescent Diamond Charm in White Gold</t>
  </si>
  <si>
    <t>A vision of celestial elegance — this crescent-shaped masterpiece glows with meticulously set diamonds in lustrous white gold. Each facet captures the serenity of moonlight, creating an aura of refined sophistication and luxurious allure. Graceful, modern, and timeless — a symbol of quiet opulence and ethereal beauty.</t>
  </si>
  <si>
    <t>https://drive.google.com/file/d/1rICO8ReBLkH5Zg0WeEHjCPremB-xPKQv/view?usp=sharing</t>
  </si>
  <si>
    <t>0.20 Ct</t>
  </si>
  <si>
    <t>Lumière Baguette Diamond Pendant in Rose Gold</t>
  </si>
  <si>
    <t>The Lumière Baguette Diamond Pendant in Rose Gold showcases a sleek baguette-cut diamond set in warm rose gold. Its clean lines and radiant sparkle embody modern sophistication and timeless luxury.</t>
  </si>
  <si>
    <t>https://drive.google.com/file/d/1X4lR5sEdG_IQhDNuaXwrqviVNfj1QTdE/view?usp=sharing</t>
  </si>
  <si>
    <t>0.31 Ct</t>
  </si>
  <si>
    <t>Solara Round Brilliant Diamond Pendant</t>
  </si>
  <si>
    <t>A timeless emblem of refined grace, the Solara Round Brilliant Diamond Pendant radiates understated luxury. The flawless round-cut diamond, cradled in a sleek four-prong setting of polished white gold, captures and reflects light with effortless brilliance. Sophisticated in form and luminous in essence, this pendant embodies eternal elegance and modern minimalism — a perfect harmony of purity and opulence.</t>
  </si>
  <si>
    <t>https://drive.google.com/file/d/1-Vpd4CUlOIn0nPl7rb2K7bdbcpuUv-jr/view?usp=sharing</t>
  </si>
  <si>
    <t>1.00 Ct</t>
  </si>
  <si>
    <t>The Rosé Lumina Pear Diamond Cuff Bracelet</t>
  </si>
  <si>
    <t>A substantial and radiant bracelet defined by two continuous, interlocking lines of fiery pear-shaped diamonds, meticulously hand-set in warm rose gold. The close-set, staggered arrangement creates maximum coverage and a bold, fluid statement on the wrist.</t>
  </si>
  <si>
    <t>https://drive.google.com/file/d/1wRTji3m7e5wGgJ_EW1fceXtyLhFQ3L2l/view?usp=drivesdk</t>
  </si>
  <si>
    <t>26.52 Ct</t>
  </si>
  <si>
    <t>9 kt</t>
  </si>
  <si>
    <t>Solitaire</t>
  </si>
  <si>
    <t>Small</t>
  </si>
  <si>
    <t>Diamond CT wt</t>
  </si>
  <si>
    <t>Diamond Price</t>
  </si>
  <si>
    <t>Diamond Value</t>
  </si>
  <si>
    <t>Total</t>
  </si>
  <si>
    <t>Nos of Diamond</t>
  </si>
  <si>
    <t>Total Diamond Value</t>
  </si>
  <si>
    <t>Bracelet</t>
  </si>
  <si>
    <t>25-CAD</t>
  </si>
  <si>
    <t>Round Diamond Tennis Necklace with Drop Charm</t>
  </si>
  <si>
    <t>Elevate your jewelry collection with this stunning Diamond Tennis Necklace. Meticulously crafted with a continuous line of brilliant-cut diamonds, this piece features a delicate solitaire pendant drop for a modern twist on a timeless classic. Its sleek, minimalist design makes it perfect for effortless layering or as a sophisticated standalone statement. Designed with a secure clasp and a high-polish finish, it offers both luxury and everyday comfort.</t>
  </si>
  <si>
    <t>GNK-0002</t>
  </si>
  <si>
    <t>4.53 Ct</t>
  </si>
  <si>
    <t>Graduated Oval Cut Diamond Tennis Chain</t>
  </si>
  <si>
    <t>A striking blend of classic elegance and bold design, this Oval Diamond Tennis Necklace features a sequence of brilliant oval-cut diamonds set in a traditional four-prong mount. The warm yellow gold setting enhances the radiance of each stone, creating a seamless river of light around the neckline. Designed for the modern woman who appreciates timeless luxury, this piece is perfect for red-carpet events or adding a high-end touch to a sophisticated evening look.</t>
  </si>
  <si>
    <t>GNK-0003</t>
  </si>
  <si>
    <t>The Verdant Emerald Radiance Tennis Necklace</t>
  </si>
  <si>
    <t>Experience the height of high-jewelry sophistication with the Verdant Emerald Radiance Tennis Necklace. This masterpiece features a breathtaking, continuous stream of precision-cut emerald diamonds, each hand-selected for its exceptional clarity and icy-white brilliance. The architectural step-cuts of the diamonds offer a sophisticated alternative to traditional round stones, creating a sleek "river of light" effect that culminates in a refined, low-profile silhouette. Handcrafted in premium way, the setting is designed to be nearly invisible, allowing the natural fire of the diamonds to take center stage against the cool, lustrous finish of the metal. The necklace is engineered with a seamless, integrated clasp for security and comfort, ensuring it drapes elegantly along the collarbone. Set against the rich, deep textures of emerald velvet, this piece transitions effortlessly from a modern bridal statement to the ultimate accessory for a black-tie evening. Diamond Cut:</t>
  </si>
  <si>
    <t>GNK-0012</t>
  </si>
  <si>
    <t>Marquise &amp; Oval Diamond Station Necklace</t>
  </si>
  <si>
    <t>Elevate Your Elegance with Timeless Brilliance Discover the epitome of sophisticated luxury with our handcrafted Marquise and Oval Diamond Station Necklace. This exquisite piece features a curated sequence of alternating diamond cuts, meticulously set to capture and reflect light from every angle.</t>
  </si>
  <si>
    <t>GNK-0018</t>
  </si>
  <si>
    <t>Round Brilliant Halo Serenity Necklace</t>
  </si>
  <si>
    <t>This stunning necklace features a series of Round brilliant-cut diamond clusters, each intricately set in a delicate halo design. The centerpiece is a magnificent pear-shaped drop, mirroring the circular motifs that lead toward it, all crafted in a warm, polished metal that highlights the clarity of the stones. With its symmetrical elegance and timeless silhouette, this piece is designed to lie gracefully against the collarbone, offering a sophisticated sparkle perfect for gala evenings or significant milestones.</t>
  </si>
  <si>
    <t>GNK-0048</t>
  </si>
  <si>
    <t>Round brilliant Diamond V-Shape Cluster Drop Necklace</t>
  </si>
  <si>
    <t>Elevate your evening attire with this stunning white gold necklace, featuring a sophisticated V-shaped silhouette. Meticulously crafted with a rhythm of alternating round shaped diamond clusters, the piece is anchored by a brilliant pear shape- round cut diamond pendant. This timeless design offers a seamless blend of vintage charm and modern luxury.</t>
  </si>
  <si>
    <t>SBWN (2)</t>
  </si>
  <si>
    <t>Emerald Cut Diamond Eternity Band | Luxury Wedding Ring</t>
  </si>
  <si>
    <t>Add timeless elegance to your jewelry collection with this stunning emerald cut diamond eternity band, beautifully crafted in romantic rose gold. Featuring a continuous row of precisely matched emerald-cut diamonds, this luxury ring delivers breathtaking brilliance and a sleek, modern silhouette.</t>
  </si>
  <si>
    <t>CAD-231</t>
  </si>
  <si>
    <t>Diamond Crown Wedding Band | Tiara Stacking Ring</t>
  </si>
  <si>
    <t>Add royal elegance to your bridal look with this exquisite diamond crown wedding band, beautifully crafted in rich yellow gold. Featuring a graceful tiara-inspired silhouette adorned with brilliant round diamonds, this contoured design pairs perfectly with engagement rings or shines beautifully on its own.</t>
  </si>
  <si>
    <t>CAD-235</t>
  </si>
  <si>
    <t>Open Bypass Diamond Engagement Ring in White Gold | Modern Solitaire</t>
  </si>
  <si>
    <t>Make a bold modern statement with this stunning open bypass diamond engagement ring, expertly crafted in luminous white gold. The sleek open design showcases a brilliant center diamond, complemented by a row of sparkling round side diamonds that add extra fire and elegance.</t>
  </si>
  <si>
    <t>CAD-237</t>
  </si>
  <si>
    <t>Diamond V Tiara Wedding Band in Rose Gold | Crown Contour Ring</t>
  </si>
  <si>
    <t>Celebrate love with this graceful diamond V tiara wedding band, beautifully crafted in romantic rose gold. Designed with a crown-inspired V contour, this ring features sparkling round diamonds that create a regal silhouette, perfectly hugging your engagement ring for a seamless bridal set.</t>
  </si>
  <si>
    <t>CAD-240</t>
  </si>
  <si>
    <t>Emerald Cut Diamond Eternity Band in Rose &amp; White Gold | Double Halo Ring</t>
  </si>
  <si>
    <t>Indulge in timeless luxury with this breathtaking emerald cut diamond eternity band, crafted in a striking combination of rose gold and white gold. Showcasing a continuous row of radiant emerald-cut diamonds framed by shimmering round diamond halos, this design delivers exceptional brilliance from every angle.</t>
  </si>
  <si>
    <t>CAD-243</t>
  </si>
  <si>
    <t>Marquise and Round Diamond Wedding Band | Two Tone Gold Anniversary Ring</t>
  </si>
  <si>
    <t>Make a statement with this stunning marquise and round diamond wedding band, featuring an alternating pattern of brilliant round and marquise-cut diamonds set in sleek white gold over a warm yellow gold interior. The unique silhouette creates a graceful leaf-inspired flow that delivers exceptional sparkle from every angle.</t>
  </si>
  <si>
    <t>CAD-244</t>
  </si>
  <si>
    <t>Multi Row Pavé Diamond Eternity Band in Yellow Gold | Luxury Statement Ring</t>
  </si>
  <si>
    <t>Indulge in maximum sparkle with this breathtaking multi-row pavé diamond eternity band, expertly crafted in radiant yellow gold. Featuring continuous rows of round brilliant diamonds encircling the entire band, this design delivers unmatched brilliance and a bold, couture-inspired presence.</t>
  </si>
  <si>
    <t>CAD-246</t>
  </si>
  <si>
    <t>Rose Gold Round Cut Diamond Half Eternity Band | Luxury Wedding &amp; Stacking Ring</t>
  </si>
  <si>
    <t>Add timeless sparkle to your jewelry collection with this elegant rose gold diamond half eternity ring, beautifully crafted with a row of brilliant round-cut diamonds in a classic prong setting. Designed for everyday luxury, this stunning band offers exceptional brilliance while maintaining a sleek, comfortable fit.</t>
  </si>
  <si>
    <t>CAD-248</t>
  </si>
  <si>
    <t>Rose Gold Round Cut Diamond Full Eternity Band | Channel Set Luxury Wedding Ring</t>
  </si>
  <si>
    <t>Elevate your everyday elegance with this rose gold diamond full eternity band, featuring a continuous row of brilliant round-cut diamonds securely channel set for maximum sparkle and durability. Crafted in warm rose gold, this sleek design offers a modern yet timeless look, perfect for weddings, anniversaries, or refined daily wear.</t>
  </si>
  <si>
    <t>CAD-257</t>
  </si>
  <si>
    <t>Princess Cut Diamond Eternity Band | Channel Set Luxury Wedding Ring</t>
  </si>
  <si>
    <t>Make a bold yet timeless statement with this yellow gold princess cut diamond eternity band, crafted with a continuous row of sparkling square diamonds in a sleek channel setting. The rich yellow gold finish beautifully enhances the brilliance of each princess-cut diamond, offering a modern, refined look designed for everyday elegance.</t>
  </si>
  <si>
    <t>CAD-258</t>
  </si>
  <si>
    <t>Round Cut Diamond Full Eternity Band | Shared Prong Luxury Wedding Ring</t>
  </si>
  <si>
    <t>Celebrate everlasting beauty with this rose gold round cut diamond full eternity band, expertly crafted with a continuous circle of brilliant diamonds in a classic shared prong setting. The warm rose gold enhances each stone’s sparkle while allowing maximum light to pass through for exceptional brilliance.</t>
  </si>
  <si>
    <t>CAD-260</t>
  </si>
  <si>
    <t>Bezel Set Diamond Half Eternity Ring in White Gold | Minimalist Wedding Band for Women</t>
  </si>
  <si>
    <t>Add timeless sparkle to your jewelry collection with this elegant Bezel Set Diamond Half Eternity Ring, crafted in lustrous white gold. Featuring a row of brilliant round-cut diamonds securely nestled in smooth bezel settings, this ring delivers modern sophistication with everyday comfort.</t>
  </si>
  <si>
    <t>CAD-263</t>
  </si>
  <si>
    <t>Two-Tone Bezel Set Diamond Half Eternity Ring in Yellow &amp; White Gold | Modern Wedding Band for Women</t>
  </si>
  <si>
    <t>Elevate your everyday elegance with this stunning Two-Tone Bezel Set Diamond Half Eternity Ring, beautifully crafted in polished yellow gold with white gold diamond settings. Featuring brilliant round-cut diamonds securely nestled in sleek bezel mounts, this contemporary band offers both sparkle and durability.</t>
  </si>
  <si>
    <t>CAD-267</t>
  </si>
  <si>
    <t>Three Pear Cut Diamond Rose Gold Ring | Trilogy Engagement Ring for Women</t>
  </si>
  <si>
    <t>Make a bold statement of love with this exquisite Three Pear Cut Diamond Rose Gold Ring, designed to capture elegance from every angle. Featuring three brilliant pear-shaped diamonds in a stunning trilogy arrangement, this ring symbolizes your past, present, and future — making it a perfect choice for engagements or meaningful celebrations.</t>
  </si>
  <si>
    <t>RR-001</t>
  </si>
  <si>
    <t>Open Bypass Pear Diamond Rose Gold Ring | Floral Style Statement Engagement Ring for Women</t>
  </si>
  <si>
    <t>Turn heads with this breathtaking Open Bypass Pear Diamond Ring, beautifully crafted in warm rose gold. Featuring two elegant floral clusters made from brilliant pear-cut diamonds, this modern open design symbolizes connection, balance, and everlasting beauty.</t>
  </si>
  <si>
    <t>RR-003</t>
  </si>
  <si>
    <t>Heart Shape Diamond Halo Ring in Yellow Gold | Romantic Engagement Ring for Women</t>
  </si>
  <si>
    <t>Celebrate love with this breathtaking Heart Shape Diamond Halo Ring, beautifully crafted in radiant yellow gold. Featuring a sparkling heart-cut center diamond framed by a brilliant halo of round diamonds, this ring delivers exceptional fire and romantic elegance.</t>
  </si>
  <si>
    <t>RR-005</t>
  </si>
  <si>
    <t>Round Diamond Halo Engagement Ring in White Gold | Floral Cluster Bridal Ring for Women</t>
  </si>
  <si>
    <t>Capture timeless elegance with this stunning Round Diamond Halo Engagement Ring, expertly crafted in luminous white gold. Featuring a brilliant round-cut center diamond surrounded by a sparkling floral halo of smaller diamonds, this ring delivers breathtaking brilliance from every angle.</t>
  </si>
  <si>
    <t>RR-007</t>
  </si>
  <si>
    <t>Oval Diamond Engagement Ring with Marquise Side Stones in Yellow Gold | Three Stone Bridal Ring</t>
  </si>
  <si>
    <t>Fall in love with timeless elegance in this exquisite Oval Diamond Engagement Ring, beautifully crafted in radiant yellow gold. Showcasing a brilliant oval-cut center diamond flanked by sparkling marquise and round accent stones, this three-stone design creates a graceful, elongated silhouette with exceptional brilliance.</t>
  </si>
  <si>
    <t>RR-008</t>
  </si>
  <si>
    <t>Oval Diamond Halo Engagement Ring in White Gold | Vintage Floral Cluster Bridal Ring</t>
  </si>
  <si>
    <t>Discover timeless beauty with this elegant Oval Diamond Halo Engagement Ring, expertly crafted in radiant white gold. Featuring a brilliant oval-cut center diamond surrounded by a floral-inspired halo of round diamonds, this design delivers breathtaking sparkle with a soft vintage touch.</t>
  </si>
  <si>
    <t>RR-012</t>
  </si>
  <si>
    <t>Princess Cut Diamond Stud Earrings in Yellow Gold | Square Solitaire Diamond Earrings for Women</t>
  </si>
  <si>
    <t>Add timeless sparkle to your everyday style with these elegant Princess Cut Diamond Stud Earrings, beautifully set in warm yellow gold. Featuring brilliant square-cut diamonds secured with classic four-prong settings, these studs offer exceptional fire and a clean, modern silhouette.</t>
  </si>
  <si>
    <t>Earings 46-1</t>
  </si>
  <si>
    <t>Round Diamond Drop Earrings in White Gold | Double Solitaire Dangle Diamond Earrings for Women</t>
  </si>
  <si>
    <t>Elevate your elegance with these stunning Round Diamond Drop Earrings, beautifully crafted in luminous white gold. Featuring a classic round diamond stud paired with a larger dangling round diamond, this double-solitaire design creates graceful movement and exceptional sparkle with every turn.</t>
  </si>
  <si>
    <t>Earings 46-4</t>
  </si>
  <si>
    <t>Emerald-Cut Lab Grown Diamond Stud Earrings in Yellow Gold Sustainable Luxury Jewellery</t>
  </si>
  <si>
    <t>Elevate your everyday style with these emerald-cut lab grown diamond stud earrings in yellow gold, a perfect blend of timeless elegance and modern sustainability. Each diamond is expertly crafted in a rectangular emerald cut, featuring step-cut facets that create a mesmerizing hall-of-mirrors effect. Set securely in a classic four-prong yellow gold setting, these studs radiate brilliance while offering a refined, minimalist look</t>
  </si>
  <si>
    <t>Earings 46-7</t>
  </si>
  <si>
    <t>Diamond Specification</t>
  </si>
  <si>
    <t xml:space="preserve">Color &amp; clarity </t>
  </si>
  <si>
    <t>Pear</t>
  </si>
  <si>
    <t>EF&amp;VVS-VS</t>
  </si>
  <si>
    <t>Shape-1</t>
  </si>
  <si>
    <t>Shape-2</t>
  </si>
  <si>
    <t>-</t>
  </si>
  <si>
    <t>Round</t>
  </si>
  <si>
    <t>Princess</t>
  </si>
  <si>
    <t xml:space="preserve">Multi </t>
  </si>
  <si>
    <t>EarE</t>
  </si>
  <si>
    <t>Earing</t>
  </si>
  <si>
    <t>L2-27</t>
  </si>
  <si>
    <t>56-CAD</t>
  </si>
  <si>
    <t>ER-0008</t>
  </si>
  <si>
    <t>ER-0013</t>
  </si>
  <si>
    <t>ER-0001</t>
  </si>
  <si>
    <t>DDLR-003</t>
  </si>
  <si>
    <t>DDLR-033</t>
  </si>
  <si>
    <t>Cushion</t>
  </si>
  <si>
    <t>Trillion</t>
  </si>
  <si>
    <t>DDLR-037</t>
  </si>
  <si>
    <t>Trillion &amp; Round</t>
  </si>
  <si>
    <t>DDLR-038</t>
  </si>
  <si>
    <t>Emerald</t>
  </si>
  <si>
    <t>DDLR-002</t>
  </si>
  <si>
    <t>Oval</t>
  </si>
  <si>
    <t>42#360007N</t>
  </si>
  <si>
    <t>Pendant</t>
  </si>
  <si>
    <t>42#360009N</t>
  </si>
  <si>
    <t>42#360010N</t>
  </si>
  <si>
    <t>42#360006N</t>
  </si>
  <si>
    <t>Baguette</t>
  </si>
  <si>
    <t>PND-0001</t>
  </si>
  <si>
    <t>57-CAD</t>
  </si>
  <si>
    <t>Marquise</t>
  </si>
  <si>
    <t>Total Wt</t>
  </si>
  <si>
    <t>Neckless</t>
  </si>
  <si>
    <t>SBWN-2</t>
  </si>
  <si>
    <t>Heart</t>
  </si>
  <si>
    <t>Marquise&amp;Round</t>
  </si>
  <si>
    <t>Ring Size(9-12)</t>
  </si>
  <si>
    <t>Ring Size(13)</t>
  </si>
  <si>
    <t>Ring Size(14)</t>
  </si>
  <si>
    <t>Ring Size(15)</t>
  </si>
  <si>
    <t>Ring Size(16)</t>
  </si>
  <si>
    <t>Ring Size(17)</t>
  </si>
  <si>
    <t>Ring Size(18)</t>
  </si>
  <si>
    <t>Making Charge</t>
  </si>
  <si>
    <t>DIAMOND PRICE</t>
  </si>
  <si>
    <t>FINAL PRICE</t>
  </si>
  <si>
    <t>DIAMOND WEIGHT</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</si>
</sst>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4"/>
      <color theme="1"/>
      <name val="Times New Roman"/>
      <family val="1"/>
    </font>
    <font>
      <b/>
      <sz val="14"/>
      <color theme="1"/>
      <name val="Times New Roman"/>
      <family val="1"/>
    </font>
    <font>
      <b/>
      <sz val="15"/>
      <color theme="1"/>
      <name val="Arial"/>
      <family val="2"/>
    </font>
    <font>
      <b/>
      <sz val="13"/>
      <color theme="1"/>
      <name val="Arial"/>
      <family val="2"/>
    </font>
    <font>
      <b/>
      <sz val="14"/>
      <color theme="1"/>
      <name val="Arial"/>
      <family val="2"/>
    </font>
    <font>
      <b/>
      <sz val="12"/>
      <color theme="1"/>
      <name val="Arial"/>
      <family val="2"/>
    </font>
    <font>
      <sz val="10"/>
      <color theme="1"/>
      <name val="Arial"/>
      <family val="2"/>
    </font>
    <font>
      <b/>
      <sz val="10"/>
      <color theme="1"/>
      <name val="Arial"/>
      <family val="2"/>
    </font>
    <font>
      <sz val="7"/>
      <color theme="1"/>
      <name val="Arial"/>
      <family val="2"/>
    </font>
    <font>
      <u/>
      <sz val="11"/>
      <color theme="10"/>
      <name val="Calibri"/>
      <family val="2"/>
      <scheme val="minor"/>
    </font>
    <font>
      <b/>
      <sz val="20"/>
      <color theme="1"/>
      <name val="Times New Roman"/>
      <family val="1"/>
    </font>
  </fonts>
  <fills count="3">
    <fill>
      <patternFill patternType="none"/>
    </fill>
    <fill>
      <patternFill patternType="gray125"/>
    </fill>
    <fill>
      <patternFill patternType="solid">
        <fgColor rgb="FFFFFF0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CCCCCC"/>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style="thin">
        <color indexed="64"/>
      </right>
      <top/>
      <bottom/>
      <diagonal/>
    </border>
  </borders>
  <cellStyleXfs count="2">
    <xf numFmtId="0" fontId="0" fillId="0" borderId="0"/>
    <xf numFmtId="0" fontId="10" fillId="0" borderId="0" applyNumberFormat="0" applyFill="0" applyBorder="0" applyAlignment="0" applyProtection="0"/>
  </cellStyleXfs>
  <cellXfs count="140">
    <xf numFmtId="0" fontId="0" fillId="0" borderId="0" xfId="0"/>
    <xf numFmtId="0" fontId="1" fillId="0" borderId="0" xfId="0" applyFont="1" applyAlignment="1">
      <alignment horizontal="center" vertical="center" wrapText="1"/>
    </xf>
    <xf numFmtId="0" fontId="1" fillId="0" borderId="1" xfId="0" applyFont="1" applyBorder="1" applyAlignment="1">
      <alignment horizontal="center" vertical="center" wrapText="1"/>
    </xf>
    <xf numFmtId="1" fontId="1" fillId="0" borderId="1" xfId="0" applyNumberFormat="1" applyFont="1" applyBorder="1" applyAlignment="1">
      <alignment horizontal="center" vertical="center" wrapText="1"/>
    </xf>
    <xf numFmtId="0" fontId="1" fillId="0" borderId="6" xfId="0" applyFont="1" applyBorder="1" applyAlignment="1">
      <alignment horizontal="center" vertical="center" wrapText="1"/>
    </xf>
    <xf numFmtId="1" fontId="1" fillId="0" borderId="6" xfId="0" applyNumberFormat="1" applyFont="1" applyBorder="1" applyAlignment="1">
      <alignment horizontal="center" vertical="center" wrapText="1"/>
    </xf>
    <xf numFmtId="0" fontId="2" fillId="0" borderId="7" xfId="0" applyFont="1" applyBorder="1" applyAlignment="1">
      <alignment horizontal="center" vertical="center" wrapText="1"/>
    </xf>
    <xf numFmtId="0" fontId="2" fillId="0" borderId="4" xfId="0" applyFont="1" applyBorder="1" applyAlignment="1">
      <alignment horizontal="center" vertical="center" wrapText="1"/>
    </xf>
    <xf numFmtId="0" fontId="1" fillId="0" borderId="8" xfId="0" applyFont="1" applyBorder="1" applyAlignment="1">
      <alignment horizontal="center" vertical="center" wrapText="1"/>
    </xf>
    <xf numFmtId="1" fontId="1" fillId="0" borderId="0" xfId="0" applyNumberFormat="1" applyFont="1" applyAlignment="1">
      <alignment horizontal="center" vertical="center" wrapText="1"/>
    </xf>
    <xf numFmtId="0" fontId="3" fillId="0" borderId="12" xfId="0" applyFont="1" applyBorder="1" applyAlignment="1">
      <alignment horizontal="center" wrapText="1"/>
    </xf>
    <xf numFmtId="0" fontId="4" fillId="0" borderId="12" xfId="0" applyFont="1" applyBorder="1" applyAlignment="1">
      <alignment horizontal="center" wrapText="1"/>
    </xf>
    <xf numFmtId="0" fontId="5" fillId="0" borderId="12" xfId="0" applyFont="1" applyBorder="1" applyAlignment="1">
      <alignment horizontal="center" wrapText="1"/>
    </xf>
    <xf numFmtId="0" fontId="4" fillId="0" borderId="12" xfId="0" applyFont="1" applyBorder="1" applyAlignment="1">
      <alignment horizontal="center" vertical="center" wrapText="1"/>
    </xf>
    <xf numFmtId="0" fontId="6" fillId="0" borderId="12" xfId="0" applyFont="1" applyBorder="1" applyAlignment="1">
      <alignment horizontal="center" vertical="center" wrapText="1"/>
    </xf>
    <xf numFmtId="0" fontId="3" fillId="0" borderId="12" xfId="0" applyFont="1" applyBorder="1" applyAlignment="1">
      <alignment horizontal="center" vertical="center" wrapText="1"/>
    </xf>
    <xf numFmtId="0" fontId="7" fillId="0" borderId="12" xfId="0" applyFont="1" applyBorder="1" applyAlignment="1">
      <alignment wrapText="1"/>
    </xf>
    <xf numFmtId="0" fontId="7" fillId="0" borderId="20" xfId="0" applyFont="1" applyBorder="1" applyAlignment="1">
      <alignment wrapText="1"/>
    </xf>
    <xf numFmtId="0" fontId="8" fillId="0" borderId="16" xfId="0" applyFont="1" applyBorder="1" applyAlignment="1">
      <alignment horizontal="center" wrapText="1"/>
    </xf>
    <xf numFmtId="0" fontId="7" fillId="0" borderId="12" xfId="0" applyFont="1" applyBorder="1" applyAlignment="1">
      <alignment horizontal="center" vertical="center" wrapText="1"/>
    </xf>
    <xf numFmtId="0" fontId="9" fillId="0" borderId="12" xfId="0" applyFont="1" applyBorder="1" applyAlignment="1">
      <alignment horizontal="center" vertical="center" wrapText="1"/>
    </xf>
    <xf numFmtId="0" fontId="10" fillId="0" borderId="12" xfId="1" applyBorder="1" applyAlignment="1">
      <alignment horizontal="center" wrapText="1"/>
    </xf>
    <xf numFmtId="0" fontId="7" fillId="0" borderId="12" xfId="0" applyFont="1" applyBorder="1" applyAlignment="1">
      <alignment horizontal="center" wrapText="1"/>
    </xf>
    <xf numFmtId="0" fontId="10" fillId="0" borderId="12" xfId="1" applyBorder="1" applyAlignment="1">
      <alignment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1" fillId="0" borderId="0"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8" fillId="0" borderId="12" xfId="0" applyFont="1" applyBorder="1" applyAlignment="1">
      <alignment wrapText="1"/>
    </xf>
    <xf numFmtId="0" fontId="2" fillId="0" borderId="31" xfId="0" applyFont="1" applyBorder="1" applyAlignment="1">
      <alignment horizontal="center" vertical="center" wrapText="1"/>
    </xf>
    <xf numFmtId="2" fontId="1" fillId="0" borderId="6" xfId="0" applyNumberFormat="1" applyFont="1" applyBorder="1" applyAlignment="1">
      <alignment horizontal="center" vertical="center" wrapText="1"/>
    </xf>
    <xf numFmtId="2" fontId="1" fillId="0" borderId="1"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1" fillId="0" borderId="9" xfId="0" applyFont="1" applyBorder="1" applyAlignment="1">
      <alignment horizontal="center" vertical="center" wrapText="1"/>
    </xf>
    <xf numFmtId="0" fontId="0" fillId="0" borderId="34" xfId="0" applyBorder="1"/>
    <xf numFmtId="0" fontId="0" fillId="0" borderId="0" xfId="0" applyBorder="1"/>
    <xf numFmtId="0" fontId="0" fillId="0" borderId="37" xfId="0" applyBorder="1"/>
    <xf numFmtId="0" fontId="1" fillId="0" borderId="39" xfId="0" applyFont="1" applyFill="1" applyBorder="1" applyAlignment="1">
      <alignment horizontal="center" vertical="center"/>
    </xf>
    <xf numFmtId="0" fontId="0" fillId="0" borderId="35" xfId="0" applyBorder="1"/>
    <xf numFmtId="0" fontId="0" fillId="0" borderId="36" xfId="0" applyBorder="1"/>
    <xf numFmtId="0" fontId="0" fillId="0" borderId="40" xfId="0" applyBorder="1"/>
    <xf numFmtId="1" fontId="1" fillId="0" borderId="38" xfId="0" applyNumberFormat="1" applyFont="1" applyBorder="1" applyAlignment="1">
      <alignment horizontal="center" vertical="center" wrapText="1"/>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10" xfId="0" applyFont="1" applyBorder="1" applyAlignment="1">
      <alignment horizontal="center" vertical="center" wrapText="1"/>
    </xf>
    <xf numFmtId="0" fontId="11" fillId="0" borderId="10" xfId="0" applyFont="1" applyBorder="1" applyAlignment="1">
      <alignment horizontal="center"/>
    </xf>
    <xf numFmtId="1" fontId="1" fillId="0" borderId="1" xfId="0" applyNumberFormat="1" applyFont="1" applyBorder="1" applyAlignment="1">
      <alignment horizontal="center" vertical="center"/>
    </xf>
    <xf numFmtId="1" fontId="1" fillId="0" borderId="1" xfId="0" applyNumberFormat="1" applyFont="1" applyFill="1" applyBorder="1" applyAlignment="1">
      <alignment horizontal="center" vertical="center"/>
    </xf>
    <xf numFmtId="0" fontId="2" fillId="0" borderId="36" xfId="0" applyFont="1" applyBorder="1" applyAlignment="1">
      <alignment horizontal="center" vertical="center" wrapText="1"/>
    </xf>
    <xf numFmtId="1" fontId="1" fillId="0" borderId="42" xfId="0" applyNumberFormat="1" applyFont="1" applyBorder="1" applyAlignment="1">
      <alignment horizontal="center" vertical="center" wrapText="1"/>
    </xf>
    <xf numFmtId="0" fontId="11" fillId="0" borderId="10" xfId="0" applyFont="1" applyBorder="1" applyAlignment="1">
      <alignment horizontal="center" vertical="center"/>
    </xf>
    <xf numFmtId="0" fontId="0" fillId="0" borderId="0" xfId="0" applyBorder="1" applyAlignment="1">
      <alignment horizontal="center" vertical="center"/>
    </xf>
    <xf numFmtId="0" fontId="0" fillId="0" borderId="36" xfId="0" applyBorder="1" applyAlignment="1">
      <alignment horizontal="center" vertical="center"/>
    </xf>
    <xf numFmtId="0" fontId="0" fillId="0" borderId="0" xfId="0" applyAlignment="1">
      <alignment horizontal="center" vertical="center"/>
    </xf>
    <xf numFmtId="0" fontId="2" fillId="0" borderId="4"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39" xfId="0" applyFont="1" applyFill="1" applyBorder="1" applyAlignment="1">
      <alignment horizontal="center" vertical="center"/>
    </xf>
    <xf numFmtId="1" fontId="1" fillId="2" borderId="38"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 fontId="1" fillId="2" borderId="42" xfId="0" applyNumberFormat="1" applyFont="1" applyFill="1" applyBorder="1" applyAlignment="1">
      <alignment horizontal="center" vertical="center" wrapText="1"/>
    </xf>
    <xf numFmtId="0" fontId="0" fillId="2" borderId="0" xfId="0" applyFill="1"/>
    <xf numFmtId="2" fontId="1" fillId="2" borderId="6" xfId="0" applyNumberFormat="1" applyFont="1" applyFill="1" applyBorder="1" applyAlignment="1">
      <alignment horizontal="center" vertical="center" wrapText="1"/>
    </xf>
    <xf numFmtId="1" fontId="1" fillId="2" borderId="6" xfId="0" applyNumberFormat="1"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7" fillId="2" borderId="12" xfId="0" applyFont="1" applyFill="1" applyBorder="1" applyAlignment="1">
      <alignment wrapText="1"/>
    </xf>
    <xf numFmtId="0" fontId="7" fillId="2" borderId="12" xfId="0" applyFont="1" applyFill="1" applyBorder="1" applyAlignment="1">
      <alignment horizontal="center" wrapText="1"/>
    </xf>
    <xf numFmtId="0" fontId="1" fillId="0" borderId="1"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41" xfId="0" applyFont="1" applyFill="1" applyBorder="1" applyAlignment="1">
      <alignment horizontal="center" vertical="center" wrapText="1"/>
    </xf>
    <xf numFmtId="1" fontId="1" fillId="0" borderId="38" xfId="0" applyNumberFormat="1"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2" fontId="1" fillId="0" borderId="6" xfId="0" applyNumberFormat="1" applyFont="1" applyFill="1" applyBorder="1" applyAlignment="1">
      <alignment horizontal="center" vertical="center" wrapText="1"/>
    </xf>
    <xf numFmtId="1" fontId="1" fillId="0" borderId="42" xfId="0" applyNumberFormat="1" applyFont="1" applyFill="1" applyBorder="1" applyAlignment="1">
      <alignment horizontal="center" vertical="center" wrapText="1"/>
    </xf>
    <xf numFmtId="0" fontId="0" fillId="0" borderId="0" xfId="0" applyFill="1"/>
    <xf numFmtId="0" fontId="1" fillId="0" borderId="44" xfId="0" applyFont="1" applyBorder="1" applyAlignment="1">
      <alignment horizontal="center" vertical="center" wrapText="1"/>
    </xf>
    <xf numFmtId="0" fontId="1" fillId="2" borderId="44" xfId="0" applyFont="1" applyFill="1" applyBorder="1" applyAlignment="1">
      <alignment horizontal="center" vertical="center" wrapText="1"/>
    </xf>
    <xf numFmtId="0" fontId="1" fillId="0" borderId="44" xfId="0" applyFont="1" applyFill="1" applyBorder="1" applyAlignment="1">
      <alignment horizontal="center" vertical="center" wrapText="1"/>
    </xf>
    <xf numFmtId="0" fontId="2" fillId="0" borderId="45"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1" fillId="2" borderId="38"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0" borderId="38" xfId="0" applyFont="1" applyFill="1" applyBorder="1" applyAlignment="1">
      <alignment horizontal="center" vertical="center" wrapText="1"/>
    </xf>
    <xf numFmtId="0" fontId="1" fillId="0" borderId="39" xfId="0" applyFont="1" applyFill="1" applyBorder="1" applyAlignment="1">
      <alignment horizontal="center" vertical="center" wrapText="1"/>
    </xf>
    <xf numFmtId="0" fontId="1" fillId="0" borderId="35"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49" xfId="0" applyFont="1" applyBorder="1" applyAlignment="1">
      <alignment horizontal="center" vertical="center" wrapText="1"/>
    </xf>
    <xf numFmtId="1" fontId="1" fillId="0" borderId="6" xfId="0" applyNumberFormat="1" applyFont="1" applyFill="1" applyBorder="1" applyAlignment="1">
      <alignment horizontal="center" vertical="center" wrapText="1"/>
    </xf>
    <xf numFmtId="2" fontId="1" fillId="0" borderId="1" xfId="0" applyNumberFormat="1" applyFont="1" applyFill="1" applyBorder="1" applyAlignment="1">
      <alignment horizontal="center" vertical="center" wrapText="1"/>
    </xf>
    <xf numFmtId="0" fontId="1" fillId="0" borderId="0" xfId="0" applyFont="1" applyFill="1" applyAlignment="1">
      <alignment horizontal="center" vertical="center" wrapText="1"/>
    </xf>
    <xf numFmtId="0" fontId="7" fillId="0" borderId="12" xfId="0" applyFont="1" applyFill="1" applyBorder="1" applyAlignment="1">
      <alignment wrapText="1"/>
    </xf>
    <xf numFmtId="0" fontId="7" fillId="0" borderId="12" xfId="0" applyFont="1" applyFill="1" applyBorder="1" applyAlignment="1">
      <alignment horizontal="center" wrapText="1"/>
    </xf>
    <xf numFmtId="0" fontId="1" fillId="0" borderId="5"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30" xfId="0" applyFont="1" applyBorder="1" applyAlignment="1">
      <alignment horizontal="center" vertical="center" wrapText="1"/>
    </xf>
    <xf numFmtId="0" fontId="3" fillId="0" borderId="13" xfId="0" applyFont="1" applyBorder="1" applyAlignment="1">
      <alignment horizontal="center" wrapText="1"/>
    </xf>
    <xf numFmtId="0" fontId="3" fillId="0" borderId="14" xfId="0" applyFont="1" applyBorder="1" applyAlignment="1">
      <alignment horizontal="center" wrapText="1"/>
    </xf>
    <xf numFmtId="0" fontId="3" fillId="0" borderId="15" xfId="0" applyFont="1" applyBorder="1" applyAlignment="1">
      <alignment horizontal="center" wrapText="1"/>
    </xf>
    <xf numFmtId="0" fontId="3" fillId="0" borderId="17" xfId="0" applyFont="1" applyBorder="1" applyAlignment="1">
      <alignment horizontal="center" wrapText="1"/>
    </xf>
    <xf numFmtId="0" fontId="3" fillId="0" borderId="21" xfId="0" applyFont="1" applyBorder="1" applyAlignment="1">
      <alignment horizontal="center" wrapText="1"/>
    </xf>
    <xf numFmtId="0" fontId="3" fillId="0" borderId="18" xfId="0" applyFont="1" applyBorder="1" applyAlignment="1">
      <alignment horizontal="center" wrapText="1"/>
    </xf>
    <xf numFmtId="0" fontId="3" fillId="0" borderId="19" xfId="0" applyFont="1" applyBorder="1" applyAlignment="1">
      <alignment horizont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11" fillId="0" borderId="9" xfId="0" applyFont="1" applyBorder="1" applyAlignment="1">
      <alignment horizontal="center"/>
    </xf>
    <xf numFmtId="0" fontId="11" fillId="0" borderId="10" xfId="0" applyFont="1" applyBorder="1" applyAlignment="1">
      <alignment horizontal="center"/>
    </xf>
    <xf numFmtId="0" fontId="11" fillId="0" borderId="11"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hUv2758iTiUsZow7FTHpziS-qBrQCo9e/view?usp=sharing" TargetMode="External"/><Relationship Id="rId13" Type="http://schemas.openxmlformats.org/officeDocument/2006/relationships/hyperlink" Target="https://drive.google.com/file/d/1nGzn2JoS5v36BR_50NwZOjvBjGH5IoLi/view?usp=sharing" TargetMode="External"/><Relationship Id="rId18" Type="http://schemas.openxmlformats.org/officeDocument/2006/relationships/hyperlink" Target="https://drive.google.com/file/d/1rICO8ReBLkH5Zg0WeEHjCPremB-xPKQv/view?usp=sharing" TargetMode="External"/><Relationship Id="rId3" Type="http://schemas.openxmlformats.org/officeDocument/2006/relationships/hyperlink" Target="https://drive.google.com/file/d/1tF-hz-MVOLgqiEWss8hfv54lvqfJ4WfM/view?usp=sharing" TargetMode="External"/><Relationship Id="rId21" Type="http://schemas.openxmlformats.org/officeDocument/2006/relationships/hyperlink" Target="https://drive.google.com/file/d/1wRTji3m7e5wGgJ_EW1fceXtyLhFQ3L2l/view?usp=drivesdk" TargetMode="External"/><Relationship Id="rId7" Type="http://schemas.openxmlformats.org/officeDocument/2006/relationships/hyperlink" Target="https://drive.google.com/file/d/18u6ov_TGvZdMcT-thMqUcbJSRz4K3Xbx/view?usp=sharing" TargetMode="External"/><Relationship Id="rId12" Type="http://schemas.openxmlformats.org/officeDocument/2006/relationships/hyperlink" Target="https://drive.google.com/file/d/1ZhY4AGFs0ZN7qFLtdKUrixPyLTGlX9-O/view?usp=sharing" TargetMode="External"/><Relationship Id="rId17" Type="http://schemas.openxmlformats.org/officeDocument/2006/relationships/hyperlink" Target="https://drive.google.com/file/d/18KSeKPNtcrPuymTbLmV9BimNfTdvgKQp/view?usp=sharing" TargetMode="External"/><Relationship Id="rId2" Type="http://schemas.openxmlformats.org/officeDocument/2006/relationships/hyperlink" Target="https://drive.google.com/file/d/1vBKEEgl-8D930RpLnt0H4honMIiEh8zP/view?usp=sharing" TargetMode="External"/><Relationship Id="rId16" Type="http://schemas.openxmlformats.org/officeDocument/2006/relationships/hyperlink" Target="https://drive.google.com/file/d/1q-JUPuXyjaysMIVmrH-OSAV9ey48lRvl/view?usp=sharing" TargetMode="External"/><Relationship Id="rId20" Type="http://schemas.openxmlformats.org/officeDocument/2006/relationships/hyperlink" Target="https://drive.google.com/file/d/1-Vpd4CUlOIn0nPl7rb2K7bdbcpuUv-jr/view?usp=sharing" TargetMode="External"/><Relationship Id="rId1" Type="http://schemas.openxmlformats.org/officeDocument/2006/relationships/hyperlink" Target="https://drive.google.com/file/d/1wRTji3m7e5wGgJ_EW1fceXtyLhFQ3L2l/view?usp=sharing" TargetMode="External"/><Relationship Id="rId6" Type="http://schemas.openxmlformats.org/officeDocument/2006/relationships/hyperlink" Target="https://drive.google.com/file/d/16xTG4lETBVXcyUq2jNdpyBgQPeVAnMjn/view?usp=sharing" TargetMode="External"/><Relationship Id="rId11" Type="http://schemas.openxmlformats.org/officeDocument/2006/relationships/hyperlink" Target="https://drive.google.com/file/d/1D8ki2bl1Iqe8iaIGCz39SEZgud5R8FeZ/view?usp=sharing" TargetMode="External"/><Relationship Id="rId5" Type="http://schemas.openxmlformats.org/officeDocument/2006/relationships/hyperlink" Target="https://drive.google.com/file/d/1_9pvRc_woFaC0fZaAUHmcey1zGQjucpR/view?usp=sharing" TargetMode="External"/><Relationship Id="rId15" Type="http://schemas.openxmlformats.org/officeDocument/2006/relationships/hyperlink" Target="https://drive.google.com/file/d/1RtKyXkMwnA-Dimo0lp2H3nxM7GTKp6c0/view?usp=sharing" TargetMode="External"/><Relationship Id="rId10" Type="http://schemas.openxmlformats.org/officeDocument/2006/relationships/hyperlink" Target="https://drive.google.com/file/d/1C23im9SU_tGwWMCC73M0ZcJSPNg7C-NC/view?usp=sharing" TargetMode="External"/><Relationship Id="rId19" Type="http://schemas.openxmlformats.org/officeDocument/2006/relationships/hyperlink" Target="https://drive.google.com/file/d/1X4lR5sEdG_IQhDNuaXwrqviVNfj1QTdE/view?usp=sharing" TargetMode="External"/><Relationship Id="rId4" Type="http://schemas.openxmlformats.org/officeDocument/2006/relationships/hyperlink" Target="https://drive.google.com/file/d/1VIpHiSIdAe-Qi98zrJciKhQl6HuocMfz/view?usp=sharing" TargetMode="External"/><Relationship Id="rId9" Type="http://schemas.openxmlformats.org/officeDocument/2006/relationships/hyperlink" Target="https://drive.google.com/file/d/17a3Z8mCsTqcIpdI_hIlnADEBHDVB563H/view?usp=sharing" TargetMode="External"/><Relationship Id="rId14" Type="http://schemas.openxmlformats.org/officeDocument/2006/relationships/hyperlink" Target="https://drive.google.com/file/d/1iPf3ZzRkDFhj_rGDlbekBVG31p3axO77/view?usp=sharing" TargetMode="Externa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53"/>
  <sheetViews>
    <sheetView topLeftCell="I34" zoomScaleNormal="100" workbookViewId="0">
      <selection activeCell="I48" sqref="A48:XFD48"/>
    </sheetView>
  </sheetViews>
  <sheetFormatPr defaultColWidth="11.28515625" defaultRowHeight="24" customHeight="1" x14ac:dyDescent="0.25"/>
  <cols>
    <col min="1" max="1" width="11.28515625" style="1"/>
    <col min="2" max="2" width="15" style="1" bestFit="1" customWidth="1"/>
    <col min="3" max="16" width="11.28515625" style="1"/>
    <col min="17" max="17" width="21.140625" style="1" customWidth="1"/>
    <col min="18" max="18" width="18.28515625" style="1" customWidth="1"/>
    <col min="19" max="22" width="11.28515625" style="1"/>
    <col min="23" max="25" width="16.5703125" style="1" customWidth="1"/>
    <col min="26" max="26" width="22.7109375" style="1" customWidth="1"/>
    <col min="27" max="32" width="14.28515625" style="1" customWidth="1"/>
    <col min="33" max="46" width="11.28515625" style="1"/>
    <col min="47" max="47" width="15.140625" style="1" customWidth="1"/>
    <col min="48" max="16384" width="11.28515625" style="1"/>
  </cols>
  <sheetData>
    <row r="1" spans="1:61" ht="38.25" thickBot="1" x14ac:dyDescent="0.3">
      <c r="D1" s="27"/>
      <c r="E1" s="27"/>
      <c r="F1" s="27"/>
      <c r="H1" s="28" t="s">
        <v>0</v>
      </c>
      <c r="I1" s="8">
        <v>16300</v>
      </c>
      <c r="J1" s="27"/>
    </row>
    <row r="2" spans="1:61" ht="36.75" customHeight="1" thickBot="1" x14ac:dyDescent="0.35">
      <c r="A2" s="115" t="s">
        <v>5</v>
      </c>
      <c r="B2" s="113" t="s">
        <v>9</v>
      </c>
      <c r="C2" s="117" t="s">
        <v>0</v>
      </c>
      <c r="D2" s="119" t="s">
        <v>20</v>
      </c>
      <c r="E2" s="120"/>
      <c r="F2" s="121"/>
      <c r="G2" s="119" t="s">
        <v>8</v>
      </c>
      <c r="H2" s="120"/>
      <c r="I2" s="121"/>
      <c r="J2" s="119" t="s">
        <v>7</v>
      </c>
      <c r="K2" s="120"/>
      <c r="L2" s="121"/>
      <c r="M2" s="127" t="s">
        <v>115</v>
      </c>
      <c r="N2" s="125"/>
      <c r="O2" s="126"/>
      <c r="P2" s="119" t="s">
        <v>204</v>
      </c>
      <c r="Q2" s="120"/>
      <c r="R2" s="121"/>
      <c r="S2" s="119" t="s">
        <v>111</v>
      </c>
      <c r="T2" s="120"/>
      <c r="U2" s="120"/>
      <c r="V2" s="119" t="s">
        <v>112</v>
      </c>
      <c r="W2" s="121"/>
      <c r="X2" s="125" t="s">
        <v>113</v>
      </c>
      <c r="Y2" s="126"/>
      <c r="Z2" s="135" t="s">
        <v>116</v>
      </c>
      <c r="AA2" s="119" t="s">
        <v>3</v>
      </c>
      <c r="AB2" s="120"/>
      <c r="AC2" s="121"/>
      <c r="AD2" s="119" t="s">
        <v>18</v>
      </c>
      <c r="AE2" s="120"/>
      <c r="AF2" s="121"/>
      <c r="AG2" s="119" t="s">
        <v>4</v>
      </c>
      <c r="AH2" s="120"/>
      <c r="AI2" s="121"/>
      <c r="AK2" s="11" t="s">
        <v>12</v>
      </c>
      <c r="AL2" s="12" t="s">
        <v>13</v>
      </c>
      <c r="AM2" s="13" t="s">
        <v>14</v>
      </c>
      <c r="AN2" s="128" t="s">
        <v>15</v>
      </c>
      <c r="AO2" s="129"/>
      <c r="AP2" s="130"/>
      <c r="AQ2" s="10" t="s">
        <v>0</v>
      </c>
      <c r="AR2" s="128" t="s">
        <v>16</v>
      </c>
      <c r="AS2" s="129"/>
      <c r="AT2" s="130"/>
      <c r="AU2" s="10" t="s">
        <v>17</v>
      </c>
      <c r="AV2" s="128" t="s">
        <v>3</v>
      </c>
      <c r="AW2" s="129"/>
      <c r="AX2" s="131"/>
      <c r="AY2" s="132" t="s">
        <v>18</v>
      </c>
      <c r="AZ2" s="133"/>
      <c r="BA2" s="134"/>
      <c r="BB2" s="132" t="s">
        <v>19</v>
      </c>
      <c r="BC2" s="133"/>
      <c r="BD2" s="134"/>
      <c r="BE2" s="122" t="s">
        <v>20</v>
      </c>
      <c r="BF2" s="123"/>
      <c r="BG2" s="124"/>
      <c r="BH2" s="14" t="s">
        <v>21</v>
      </c>
      <c r="BI2" s="15" t="s">
        <v>22</v>
      </c>
    </row>
    <row r="3" spans="1:61" ht="38.25" customHeight="1" thickBot="1" x14ac:dyDescent="0.25">
      <c r="A3" s="116"/>
      <c r="B3" s="114"/>
      <c r="C3" s="118"/>
      <c r="D3" s="24" t="s">
        <v>108</v>
      </c>
      <c r="E3" s="25" t="s">
        <v>1</v>
      </c>
      <c r="F3" s="26" t="s">
        <v>2</v>
      </c>
      <c r="G3" s="7" t="s">
        <v>108</v>
      </c>
      <c r="H3" s="7" t="s">
        <v>1</v>
      </c>
      <c r="I3" s="6" t="s">
        <v>2</v>
      </c>
      <c r="J3" s="24" t="s">
        <v>108</v>
      </c>
      <c r="K3" s="25" t="s">
        <v>1</v>
      </c>
      <c r="L3" s="29" t="s">
        <v>2</v>
      </c>
      <c r="M3" s="24" t="s">
        <v>109</v>
      </c>
      <c r="N3" s="25" t="s">
        <v>110</v>
      </c>
      <c r="O3" s="26" t="s">
        <v>114</v>
      </c>
      <c r="P3" s="24" t="s">
        <v>208</v>
      </c>
      <c r="Q3" s="24" t="s">
        <v>209</v>
      </c>
      <c r="R3" s="26" t="s">
        <v>205</v>
      </c>
      <c r="S3" s="33" t="s">
        <v>109</v>
      </c>
      <c r="T3" s="26" t="s">
        <v>110</v>
      </c>
      <c r="U3" s="30" t="s">
        <v>240</v>
      </c>
      <c r="V3" s="24" t="s">
        <v>109</v>
      </c>
      <c r="W3" s="26" t="s">
        <v>110</v>
      </c>
      <c r="X3" s="24" t="s">
        <v>109</v>
      </c>
      <c r="Y3" s="26" t="s">
        <v>110</v>
      </c>
      <c r="Z3" s="136"/>
      <c r="AA3" s="24" t="s">
        <v>108</v>
      </c>
      <c r="AB3" s="25" t="s">
        <v>1</v>
      </c>
      <c r="AC3" s="26" t="s">
        <v>2</v>
      </c>
      <c r="AD3" s="31" t="s">
        <v>108</v>
      </c>
      <c r="AE3" s="31" t="s">
        <v>1</v>
      </c>
      <c r="AF3" s="31" t="s">
        <v>2</v>
      </c>
      <c r="AG3" s="7" t="s">
        <v>108</v>
      </c>
      <c r="AH3" s="7" t="s">
        <v>1</v>
      </c>
      <c r="AI3" s="7" t="s">
        <v>2</v>
      </c>
      <c r="AK3" s="16"/>
      <c r="AL3" s="16"/>
      <c r="AM3" s="17"/>
      <c r="AN3" s="18" t="s">
        <v>23</v>
      </c>
      <c r="AO3" s="18" t="s">
        <v>24</v>
      </c>
      <c r="AP3" s="18" t="s">
        <v>25</v>
      </c>
      <c r="AQ3" s="17"/>
      <c r="AR3" s="18" t="s">
        <v>23</v>
      </c>
      <c r="AS3" s="18" t="s">
        <v>24</v>
      </c>
      <c r="AT3" s="18" t="s">
        <v>25</v>
      </c>
      <c r="AU3" s="17"/>
      <c r="AV3" s="18" t="s">
        <v>23</v>
      </c>
      <c r="AW3" s="18" t="s">
        <v>24</v>
      </c>
      <c r="AX3" s="18" t="s">
        <v>25</v>
      </c>
      <c r="AY3" s="18" t="s">
        <v>23</v>
      </c>
      <c r="AZ3" s="18" t="s">
        <v>24</v>
      </c>
      <c r="BA3" s="18" t="s">
        <v>25</v>
      </c>
      <c r="BB3" s="18" t="s">
        <v>23</v>
      </c>
      <c r="BC3" s="18" t="s">
        <v>24</v>
      </c>
      <c r="BD3" s="18" t="s">
        <v>25</v>
      </c>
      <c r="BE3" s="18" t="s">
        <v>23</v>
      </c>
      <c r="BF3" s="18" t="s">
        <v>24</v>
      </c>
      <c r="BG3" s="18" t="s">
        <v>25</v>
      </c>
      <c r="BH3" s="16"/>
      <c r="BI3" s="16"/>
    </row>
    <row r="4" spans="1:61" ht="24" customHeight="1" thickBot="1" x14ac:dyDescent="0.3">
      <c r="A4" s="4" t="s">
        <v>117</v>
      </c>
      <c r="B4" s="4" t="s">
        <v>238</v>
      </c>
      <c r="C4" s="4">
        <f>I1</f>
        <v>16300</v>
      </c>
      <c r="D4" s="4">
        <v>22.57</v>
      </c>
      <c r="E4" s="4">
        <v>24.91</v>
      </c>
      <c r="F4" s="4">
        <v>28.81</v>
      </c>
      <c r="G4" s="4">
        <v>19.760000000000002</v>
      </c>
      <c r="H4" s="4">
        <v>22.1</v>
      </c>
      <c r="I4" s="4">
        <v>26</v>
      </c>
      <c r="J4" s="5">
        <f t="shared" ref="J4:J29" si="0">C4*0.375*G4</f>
        <v>120783.00000000001</v>
      </c>
      <c r="K4" s="5">
        <f t="shared" ref="K4:K29" si="1">C4*0.583*H4</f>
        <v>210014.09</v>
      </c>
      <c r="L4" s="5">
        <f t="shared" ref="L4:L29" si="2">C4*0.75*I4</f>
        <v>317850</v>
      </c>
      <c r="M4" s="5">
        <v>56</v>
      </c>
      <c r="N4" s="5">
        <v>14</v>
      </c>
      <c r="O4" s="5">
        <f>M4+N4</f>
        <v>70</v>
      </c>
      <c r="P4" s="5" t="s">
        <v>239</v>
      </c>
      <c r="Q4" s="5" t="s">
        <v>211</v>
      </c>
      <c r="R4" s="5" t="s">
        <v>207</v>
      </c>
      <c r="S4" s="34">
        <v>9.85</v>
      </c>
      <c r="T4" s="34">
        <v>4.2</v>
      </c>
      <c r="U4" s="34">
        <f>S4+T4</f>
        <v>14.05</v>
      </c>
      <c r="V4" s="5">
        <v>30000</v>
      </c>
      <c r="W4" s="4">
        <v>33000</v>
      </c>
      <c r="X4" s="4">
        <f>S4*V4</f>
        <v>295500</v>
      </c>
      <c r="Y4" s="4">
        <f>T4*W4</f>
        <v>138600</v>
      </c>
      <c r="Z4" s="4">
        <f>X4+Y4</f>
        <v>434100</v>
      </c>
      <c r="AA4" s="5">
        <f>G4*1500</f>
        <v>29640.000000000004</v>
      </c>
      <c r="AB4" s="5">
        <f>H4*1500</f>
        <v>33150</v>
      </c>
      <c r="AC4" s="4">
        <f>I4*1500</f>
        <v>39000</v>
      </c>
      <c r="AD4" s="5">
        <f>(J4+Z4+AA4)*3%</f>
        <v>17535.689999999999</v>
      </c>
      <c r="AE4" s="5">
        <f>(K4+Z4+AB4)*3%</f>
        <v>20317.922699999999</v>
      </c>
      <c r="AF4" s="5">
        <f>(L4+Z4+AC4)*3%</f>
        <v>23728.5</v>
      </c>
      <c r="AG4" s="5">
        <f>J4+Z4+AA4+AD4</f>
        <v>602058.68999999994</v>
      </c>
      <c r="AH4" s="5">
        <f>K4+Z4+AB4+AE4</f>
        <v>697582.01269999996</v>
      </c>
      <c r="AI4" s="5">
        <f>L4+Z4+AC4+AF4</f>
        <v>814678.5</v>
      </c>
      <c r="AK4" s="19" t="s">
        <v>26</v>
      </c>
      <c r="AL4" s="20" t="s">
        <v>27</v>
      </c>
      <c r="AM4" s="21" t="s">
        <v>28</v>
      </c>
      <c r="AN4" s="22">
        <v>19.760000000000002</v>
      </c>
      <c r="AO4" s="22">
        <v>22.1</v>
      </c>
      <c r="AP4" s="22">
        <v>26</v>
      </c>
      <c r="AQ4" s="22">
        <v>16000</v>
      </c>
      <c r="AR4" s="22">
        <v>118560</v>
      </c>
      <c r="AS4" s="22">
        <v>206255</v>
      </c>
      <c r="AT4" s="22">
        <v>312000</v>
      </c>
      <c r="AU4" s="22">
        <v>265680</v>
      </c>
      <c r="AV4" s="22">
        <v>29640</v>
      </c>
      <c r="AW4" s="22">
        <v>33150</v>
      </c>
      <c r="AX4" s="22">
        <v>39000</v>
      </c>
      <c r="AY4" s="22">
        <v>12416</v>
      </c>
      <c r="AZ4" s="22">
        <v>15153</v>
      </c>
      <c r="BA4" s="22">
        <v>18500</v>
      </c>
      <c r="BB4" s="22">
        <v>426296</v>
      </c>
      <c r="BC4" s="22">
        <v>520237</v>
      </c>
      <c r="BD4" s="22">
        <v>635180</v>
      </c>
      <c r="BE4" s="22">
        <v>22.57</v>
      </c>
      <c r="BF4" s="22">
        <v>24.91</v>
      </c>
      <c r="BG4" s="22">
        <v>28.81</v>
      </c>
      <c r="BH4" s="22" t="s">
        <v>29</v>
      </c>
      <c r="BI4" s="16"/>
    </row>
    <row r="5" spans="1:61" ht="24" customHeight="1" thickBot="1" x14ac:dyDescent="0.3">
      <c r="A5" s="4" t="s">
        <v>117</v>
      </c>
      <c r="B5" s="2">
        <v>594</v>
      </c>
      <c r="C5" s="4">
        <f>I1</f>
        <v>16300</v>
      </c>
      <c r="D5" s="4">
        <v>16.053999999999998</v>
      </c>
      <c r="E5" s="4">
        <v>17.64</v>
      </c>
      <c r="F5" s="4">
        <v>20.29</v>
      </c>
      <c r="G5" s="4">
        <v>13.414</v>
      </c>
      <c r="H5" s="4">
        <v>15</v>
      </c>
      <c r="I5" s="4">
        <v>17.649999999999999</v>
      </c>
      <c r="J5" s="5">
        <f t="shared" si="0"/>
        <v>81993.074999999997</v>
      </c>
      <c r="K5" s="5">
        <f t="shared" si="1"/>
        <v>142543.5</v>
      </c>
      <c r="L5" s="3">
        <f t="shared" si="2"/>
        <v>215771.24999999997</v>
      </c>
      <c r="M5" s="3">
        <v>0</v>
      </c>
      <c r="N5" s="3">
        <v>35</v>
      </c>
      <c r="O5" s="5">
        <f t="shared" ref="O5:O53" si="3">M5+N5</f>
        <v>35</v>
      </c>
      <c r="P5" s="3" t="s">
        <v>211</v>
      </c>
      <c r="Q5" s="3" t="s">
        <v>210</v>
      </c>
      <c r="R5" s="5" t="s">
        <v>207</v>
      </c>
      <c r="S5" s="34">
        <v>0</v>
      </c>
      <c r="T5" s="34">
        <v>13.198</v>
      </c>
      <c r="U5" s="34">
        <f t="shared" ref="U5:U53" si="4">S5+T5</f>
        <v>13.198</v>
      </c>
      <c r="V5" s="3">
        <v>0</v>
      </c>
      <c r="W5" s="2">
        <v>30000</v>
      </c>
      <c r="X5" s="4">
        <f t="shared" ref="X5:X53" si="5">S5*V5</f>
        <v>0</v>
      </c>
      <c r="Y5" s="4">
        <f t="shared" ref="Y5:Y53" si="6">T5*W5</f>
        <v>395940</v>
      </c>
      <c r="Z5" s="4">
        <f t="shared" ref="Z5:Z53" si="7">X5+Y5</f>
        <v>395940</v>
      </c>
      <c r="AA5" s="5">
        <f t="shared" ref="AA5:AA53" si="8">G5*1500</f>
        <v>20121</v>
      </c>
      <c r="AB5" s="5">
        <f t="shared" ref="AB5:AB53" si="9">H5*1500</f>
        <v>22500</v>
      </c>
      <c r="AC5" s="4">
        <f t="shared" ref="AC5:AC53" si="10">I5*1500</f>
        <v>26474.999999999996</v>
      </c>
      <c r="AD5" s="5">
        <f t="shared" ref="AD5:AD53" si="11">(J5+Z5+AA5)*3%</f>
        <v>14941.62225</v>
      </c>
      <c r="AE5" s="5">
        <f t="shared" ref="AE5:AE53" si="12">(K5+Z5+AB5)*3%</f>
        <v>16829.505000000001</v>
      </c>
      <c r="AF5" s="5">
        <f t="shared" ref="AF5:AF53" si="13">(L5+Z5+AC5)*3%</f>
        <v>19145.587499999998</v>
      </c>
      <c r="AG5" s="5">
        <f t="shared" ref="AG5:AG53" si="14">J5+Z5+AA5+AD5</f>
        <v>512995.69725000003</v>
      </c>
      <c r="AH5" s="5">
        <f t="shared" ref="AH5:AH53" si="15">K5+Z5+AB5+AE5</f>
        <v>577813.005</v>
      </c>
      <c r="AI5" s="5">
        <f t="shared" ref="AI5:AI53" si="16">L5+Z5+AC5+AF5</f>
        <v>657331.83750000002</v>
      </c>
      <c r="AK5" s="19" t="s">
        <v>30</v>
      </c>
      <c r="AL5" s="20" t="s">
        <v>27</v>
      </c>
      <c r="AM5" s="23" t="s">
        <v>31</v>
      </c>
      <c r="AN5" s="22">
        <v>13.414</v>
      </c>
      <c r="AO5" s="22">
        <v>15</v>
      </c>
      <c r="AP5" s="22">
        <v>17.649999999999999</v>
      </c>
      <c r="AQ5" s="22">
        <v>16000</v>
      </c>
      <c r="AR5" s="22">
        <v>80484</v>
      </c>
      <c r="AS5" s="22">
        <v>139992</v>
      </c>
      <c r="AT5" s="22">
        <v>211800</v>
      </c>
      <c r="AU5" s="22">
        <v>237564</v>
      </c>
      <c r="AV5" s="22">
        <v>20121</v>
      </c>
      <c r="AW5" s="22">
        <v>22500</v>
      </c>
      <c r="AX5" s="22">
        <v>26475</v>
      </c>
      <c r="AY5" s="22">
        <v>10145</v>
      </c>
      <c r="AZ5" s="22">
        <v>12002</v>
      </c>
      <c r="BA5" s="22">
        <v>14275</v>
      </c>
      <c r="BB5" s="22">
        <v>348314</v>
      </c>
      <c r="BC5" s="22">
        <v>412058</v>
      </c>
      <c r="BD5" s="22">
        <v>490114</v>
      </c>
      <c r="BE5" s="22">
        <v>16.053999999999998</v>
      </c>
      <c r="BF5" s="22">
        <v>17.64</v>
      </c>
      <c r="BG5" s="22">
        <v>20.29</v>
      </c>
      <c r="BH5" s="22" t="s">
        <v>32</v>
      </c>
      <c r="BI5" s="16"/>
    </row>
    <row r="6" spans="1:61" ht="24" customHeight="1" thickBot="1" x14ac:dyDescent="0.3">
      <c r="A6" s="4" t="s">
        <v>117</v>
      </c>
      <c r="B6" s="2" t="s">
        <v>217</v>
      </c>
      <c r="C6" s="4">
        <f>I1</f>
        <v>16300</v>
      </c>
      <c r="D6" s="4">
        <v>9.7279999999999998</v>
      </c>
      <c r="E6" s="4">
        <v>10.772</v>
      </c>
      <c r="F6" s="4">
        <v>12.512</v>
      </c>
      <c r="G6" s="4">
        <v>8.8160000000000007</v>
      </c>
      <c r="H6" s="4">
        <v>9.86</v>
      </c>
      <c r="I6" s="4">
        <v>11.6</v>
      </c>
      <c r="J6" s="5">
        <f t="shared" si="0"/>
        <v>53887.8</v>
      </c>
      <c r="K6" s="5">
        <f t="shared" si="1"/>
        <v>93698.593999999997</v>
      </c>
      <c r="L6" s="3">
        <f t="shared" si="2"/>
        <v>141810</v>
      </c>
      <c r="M6" s="3">
        <v>0</v>
      </c>
      <c r="N6" s="3">
        <v>76</v>
      </c>
      <c r="O6" s="5">
        <f t="shared" si="3"/>
        <v>76</v>
      </c>
      <c r="P6" s="3" t="s">
        <v>212</v>
      </c>
      <c r="Q6" s="3" t="s">
        <v>210</v>
      </c>
      <c r="R6" s="5" t="s">
        <v>207</v>
      </c>
      <c r="S6" s="34">
        <v>0</v>
      </c>
      <c r="T6" s="34">
        <v>4.5599999999999996</v>
      </c>
      <c r="U6" s="34">
        <f t="shared" si="4"/>
        <v>4.5599999999999996</v>
      </c>
      <c r="V6" s="3">
        <v>0</v>
      </c>
      <c r="W6" s="2">
        <v>30000</v>
      </c>
      <c r="X6" s="4">
        <f t="shared" si="5"/>
        <v>0</v>
      </c>
      <c r="Y6" s="4">
        <f t="shared" si="6"/>
        <v>136800</v>
      </c>
      <c r="Z6" s="4">
        <f t="shared" si="7"/>
        <v>136800</v>
      </c>
      <c r="AA6" s="5">
        <f t="shared" si="8"/>
        <v>13224.000000000002</v>
      </c>
      <c r="AB6" s="5">
        <f t="shared" si="9"/>
        <v>14790</v>
      </c>
      <c r="AC6" s="4">
        <f t="shared" si="10"/>
        <v>17400</v>
      </c>
      <c r="AD6" s="5">
        <f t="shared" si="11"/>
        <v>6117.3539999999994</v>
      </c>
      <c r="AE6" s="5">
        <f t="shared" si="12"/>
        <v>7358.6578199999994</v>
      </c>
      <c r="AF6" s="5">
        <f t="shared" si="13"/>
        <v>8880.2999999999993</v>
      </c>
      <c r="AG6" s="5">
        <f t="shared" si="14"/>
        <v>210029.15399999998</v>
      </c>
      <c r="AH6" s="5">
        <f t="shared" si="15"/>
        <v>252647.25181999998</v>
      </c>
      <c r="AI6" s="5">
        <f t="shared" si="16"/>
        <v>304890.3</v>
      </c>
      <c r="AK6" s="19" t="s">
        <v>33</v>
      </c>
      <c r="AL6" s="19" t="s">
        <v>34</v>
      </c>
      <c r="AM6" s="23" t="s">
        <v>35</v>
      </c>
      <c r="AN6" s="22">
        <v>8.8160000000000007</v>
      </c>
      <c r="AO6" s="22">
        <v>9.86</v>
      </c>
      <c r="AP6" s="22">
        <v>11.6</v>
      </c>
      <c r="AQ6" s="22">
        <v>16000</v>
      </c>
      <c r="AR6" s="22">
        <v>52896</v>
      </c>
      <c r="AS6" s="22">
        <v>92021</v>
      </c>
      <c r="AT6" s="22">
        <v>139200</v>
      </c>
      <c r="AU6" s="22">
        <v>127680</v>
      </c>
      <c r="AV6" s="22">
        <v>13224</v>
      </c>
      <c r="AW6" s="22">
        <v>14790</v>
      </c>
      <c r="AX6" s="22">
        <v>17400</v>
      </c>
      <c r="AY6" s="22">
        <v>5814</v>
      </c>
      <c r="AZ6" s="22">
        <v>7035</v>
      </c>
      <c r="BA6" s="22">
        <v>8528</v>
      </c>
      <c r="BB6" s="22">
        <v>199614</v>
      </c>
      <c r="BC6" s="22">
        <v>241526</v>
      </c>
      <c r="BD6" s="22">
        <v>292808</v>
      </c>
      <c r="BE6" s="22">
        <v>9.7279999999999998</v>
      </c>
      <c r="BF6" s="22">
        <v>10.772</v>
      </c>
      <c r="BG6" s="22">
        <v>12.512</v>
      </c>
      <c r="BH6" s="22" t="s">
        <v>36</v>
      </c>
      <c r="BI6" s="16"/>
    </row>
    <row r="7" spans="1:61" ht="24" customHeight="1" thickBot="1" x14ac:dyDescent="0.3">
      <c r="A7" s="4" t="s">
        <v>117</v>
      </c>
      <c r="B7" s="2">
        <v>598</v>
      </c>
      <c r="C7" s="4">
        <f>I1</f>
        <v>16300</v>
      </c>
      <c r="D7" s="4">
        <v>2.4119999999999999</v>
      </c>
      <c r="E7" s="4">
        <v>2.673</v>
      </c>
      <c r="F7" s="4">
        <v>3.1080000000000001</v>
      </c>
      <c r="G7" s="4">
        <v>2.2040000000000002</v>
      </c>
      <c r="H7" s="4">
        <v>2.4649999999999999</v>
      </c>
      <c r="I7" s="4">
        <v>2.9</v>
      </c>
      <c r="J7" s="5">
        <f t="shared" si="0"/>
        <v>13471.95</v>
      </c>
      <c r="K7" s="5">
        <f t="shared" si="1"/>
        <v>23424.648499999999</v>
      </c>
      <c r="L7" s="3">
        <f t="shared" si="2"/>
        <v>35452.5</v>
      </c>
      <c r="M7" s="3">
        <v>0</v>
      </c>
      <c r="N7" s="3">
        <v>15</v>
      </c>
      <c r="O7" s="5">
        <f t="shared" si="3"/>
        <v>15</v>
      </c>
      <c r="P7" s="3" t="s">
        <v>213</v>
      </c>
      <c r="Q7" s="3" t="s">
        <v>210</v>
      </c>
      <c r="R7" s="5" t="s">
        <v>207</v>
      </c>
      <c r="S7" s="34">
        <v>0</v>
      </c>
      <c r="T7" s="34">
        <v>1.04</v>
      </c>
      <c r="U7" s="34">
        <f t="shared" si="4"/>
        <v>1.04</v>
      </c>
      <c r="V7" s="3">
        <v>0</v>
      </c>
      <c r="W7" s="2">
        <v>30000</v>
      </c>
      <c r="X7" s="4">
        <f t="shared" si="5"/>
        <v>0</v>
      </c>
      <c r="Y7" s="4">
        <f t="shared" si="6"/>
        <v>31200</v>
      </c>
      <c r="Z7" s="4">
        <f t="shared" si="7"/>
        <v>31200</v>
      </c>
      <c r="AA7" s="5">
        <f t="shared" si="8"/>
        <v>3306.0000000000005</v>
      </c>
      <c r="AB7" s="5">
        <f t="shared" si="9"/>
        <v>3697.5</v>
      </c>
      <c r="AC7" s="4">
        <f t="shared" si="10"/>
        <v>4350</v>
      </c>
      <c r="AD7" s="5">
        <f t="shared" si="11"/>
        <v>1439.3384999999998</v>
      </c>
      <c r="AE7" s="5">
        <f t="shared" si="12"/>
        <v>1749.6644549999999</v>
      </c>
      <c r="AF7" s="5">
        <f t="shared" si="13"/>
        <v>2130.0749999999998</v>
      </c>
      <c r="AG7" s="5">
        <f t="shared" si="14"/>
        <v>49417.288499999995</v>
      </c>
      <c r="AH7" s="5">
        <f t="shared" si="15"/>
        <v>60071.812954999994</v>
      </c>
      <c r="AI7" s="5">
        <f t="shared" si="16"/>
        <v>73132.574999999997</v>
      </c>
      <c r="AK7" s="19" t="s">
        <v>37</v>
      </c>
      <c r="AL7" s="19" t="s">
        <v>38</v>
      </c>
      <c r="AM7" s="23" t="s">
        <v>39</v>
      </c>
      <c r="AN7" s="22">
        <v>2.2040000000000002</v>
      </c>
      <c r="AO7" s="22">
        <v>2.4649999999999999</v>
      </c>
      <c r="AP7" s="22">
        <v>2.9</v>
      </c>
      <c r="AQ7" s="22">
        <v>16000</v>
      </c>
      <c r="AR7" s="22">
        <v>13224</v>
      </c>
      <c r="AS7" s="22">
        <v>23005</v>
      </c>
      <c r="AT7" s="22">
        <v>34800</v>
      </c>
      <c r="AU7" s="22">
        <v>37440</v>
      </c>
      <c r="AV7" s="22">
        <v>3306</v>
      </c>
      <c r="AW7" s="22">
        <v>3697.5</v>
      </c>
      <c r="AX7" s="22">
        <v>4350</v>
      </c>
      <c r="AY7" s="22">
        <v>1619</v>
      </c>
      <c r="AZ7" s="22">
        <v>1924</v>
      </c>
      <c r="BA7" s="22">
        <v>2298</v>
      </c>
      <c r="BB7" s="22">
        <v>55589</v>
      </c>
      <c r="BC7" s="22">
        <v>66067</v>
      </c>
      <c r="BD7" s="22">
        <v>78888</v>
      </c>
      <c r="BE7" s="22">
        <v>2.4119999999999999</v>
      </c>
      <c r="BF7" s="22">
        <v>2.673</v>
      </c>
      <c r="BG7" s="22">
        <v>3.1080000000000001</v>
      </c>
      <c r="BH7" s="22" t="s">
        <v>40</v>
      </c>
      <c r="BI7" s="16"/>
    </row>
    <row r="8" spans="1:61" ht="24" customHeight="1" thickBot="1" x14ac:dyDescent="0.3">
      <c r="A8" s="4" t="s">
        <v>215</v>
      </c>
      <c r="B8" s="2" t="s">
        <v>216</v>
      </c>
      <c r="C8" s="4">
        <f>I1</f>
        <v>16300</v>
      </c>
      <c r="D8" s="4">
        <v>1.1479999999999999</v>
      </c>
      <c r="E8" s="4">
        <v>1.274</v>
      </c>
      <c r="F8" s="4">
        <v>1.484</v>
      </c>
      <c r="G8" s="4">
        <v>1.0640000000000001</v>
      </c>
      <c r="H8" s="4">
        <v>1.19</v>
      </c>
      <c r="I8" s="4">
        <v>1.4</v>
      </c>
      <c r="J8" s="5">
        <f t="shared" si="0"/>
        <v>6503.7000000000007</v>
      </c>
      <c r="K8" s="5">
        <f t="shared" si="1"/>
        <v>11308.450999999999</v>
      </c>
      <c r="L8" s="3">
        <f t="shared" si="2"/>
        <v>17115</v>
      </c>
      <c r="M8" s="3">
        <v>0</v>
      </c>
      <c r="N8" s="3">
        <v>14</v>
      </c>
      <c r="O8" s="5">
        <f t="shared" si="3"/>
        <v>14</v>
      </c>
      <c r="P8" s="3" t="s">
        <v>211</v>
      </c>
      <c r="Q8" s="3" t="s">
        <v>210</v>
      </c>
      <c r="R8" s="5" t="s">
        <v>207</v>
      </c>
      <c r="S8" s="34">
        <v>0</v>
      </c>
      <c r="T8" s="34">
        <v>0.42</v>
      </c>
      <c r="U8" s="34">
        <f t="shared" si="4"/>
        <v>0.42</v>
      </c>
      <c r="V8" s="3">
        <v>0</v>
      </c>
      <c r="W8" s="2">
        <v>27000</v>
      </c>
      <c r="X8" s="4">
        <f t="shared" si="5"/>
        <v>0</v>
      </c>
      <c r="Y8" s="4">
        <f t="shared" si="6"/>
        <v>11340</v>
      </c>
      <c r="Z8" s="4">
        <f t="shared" si="7"/>
        <v>11340</v>
      </c>
      <c r="AA8" s="5">
        <f t="shared" si="8"/>
        <v>1596</v>
      </c>
      <c r="AB8" s="5">
        <f t="shared" si="9"/>
        <v>1785</v>
      </c>
      <c r="AC8" s="4">
        <f t="shared" si="10"/>
        <v>2100</v>
      </c>
      <c r="AD8" s="5">
        <f t="shared" si="11"/>
        <v>583.19100000000003</v>
      </c>
      <c r="AE8" s="5">
        <f t="shared" si="12"/>
        <v>733.00352999999996</v>
      </c>
      <c r="AF8" s="5">
        <f t="shared" si="13"/>
        <v>916.65</v>
      </c>
      <c r="AG8" s="5">
        <f t="shared" si="14"/>
        <v>20022.891</v>
      </c>
      <c r="AH8" s="5">
        <f t="shared" si="15"/>
        <v>25166.454530000003</v>
      </c>
      <c r="AI8" s="5">
        <f t="shared" si="16"/>
        <v>31471.65</v>
      </c>
      <c r="AK8" s="19" t="s">
        <v>41</v>
      </c>
      <c r="AL8" s="19" t="s">
        <v>42</v>
      </c>
      <c r="AM8" s="23" t="s">
        <v>214</v>
      </c>
      <c r="AN8" s="22">
        <v>1.0640000000000001</v>
      </c>
      <c r="AO8" s="22">
        <v>1.19</v>
      </c>
      <c r="AP8" s="22">
        <v>1.4</v>
      </c>
      <c r="AQ8" s="22">
        <v>16000</v>
      </c>
      <c r="AR8" s="22">
        <v>6384</v>
      </c>
      <c r="AS8" s="22">
        <v>11106</v>
      </c>
      <c r="AT8" s="22">
        <v>16800</v>
      </c>
      <c r="AU8" s="22">
        <v>12600</v>
      </c>
      <c r="AV8" s="22">
        <v>1596</v>
      </c>
      <c r="AW8" s="22">
        <v>1785</v>
      </c>
      <c r="AX8" s="22">
        <v>2100</v>
      </c>
      <c r="AY8" s="22">
        <v>617</v>
      </c>
      <c r="AZ8" s="22">
        <v>765</v>
      </c>
      <c r="BA8" s="22">
        <v>945</v>
      </c>
      <c r="BB8" s="22">
        <v>21197</v>
      </c>
      <c r="BC8" s="22">
        <v>26256</v>
      </c>
      <c r="BD8" s="22">
        <v>32445</v>
      </c>
      <c r="BE8" s="22">
        <v>1.1479999999999999</v>
      </c>
      <c r="BF8" s="22">
        <v>1.274</v>
      </c>
      <c r="BG8" s="22">
        <v>1.484</v>
      </c>
      <c r="BH8" s="22" t="s">
        <v>43</v>
      </c>
      <c r="BI8" s="16"/>
    </row>
    <row r="9" spans="1:61" ht="24" customHeight="1" thickBot="1" x14ac:dyDescent="0.3">
      <c r="A9" s="4" t="s">
        <v>215</v>
      </c>
      <c r="B9" s="2" t="s">
        <v>218</v>
      </c>
      <c r="C9" s="4">
        <f>I1</f>
        <v>16300</v>
      </c>
      <c r="D9" s="4">
        <v>3.8879999999999999</v>
      </c>
      <c r="E9" s="4">
        <v>4.2889999999999997</v>
      </c>
      <c r="F9" s="4">
        <v>4.9560000000000004</v>
      </c>
      <c r="G9" s="4">
        <v>3.3820000000000001</v>
      </c>
      <c r="H9" s="4">
        <v>3.7829999999999999</v>
      </c>
      <c r="I9" s="4">
        <v>4.45</v>
      </c>
      <c r="J9" s="5">
        <f t="shared" si="0"/>
        <v>20672.475000000002</v>
      </c>
      <c r="K9" s="5">
        <f t="shared" si="1"/>
        <v>35949.470699999998</v>
      </c>
      <c r="L9" s="3">
        <f t="shared" si="2"/>
        <v>54401.25</v>
      </c>
      <c r="M9" s="3">
        <v>2</v>
      </c>
      <c r="N9" s="3">
        <v>44</v>
      </c>
      <c r="O9" s="5">
        <f t="shared" si="3"/>
        <v>46</v>
      </c>
      <c r="P9" s="3" t="s">
        <v>211</v>
      </c>
      <c r="Q9" s="3" t="s">
        <v>211</v>
      </c>
      <c r="R9" s="5" t="s">
        <v>207</v>
      </c>
      <c r="S9" s="34">
        <v>2</v>
      </c>
      <c r="T9" s="34">
        <v>0.52800000000000002</v>
      </c>
      <c r="U9" s="34">
        <f t="shared" si="4"/>
        <v>2.528</v>
      </c>
      <c r="V9" s="3">
        <v>40000</v>
      </c>
      <c r="W9" s="2">
        <v>27000</v>
      </c>
      <c r="X9" s="4">
        <f t="shared" si="5"/>
        <v>80000</v>
      </c>
      <c r="Y9" s="4">
        <f t="shared" si="6"/>
        <v>14256</v>
      </c>
      <c r="Z9" s="4">
        <f t="shared" si="7"/>
        <v>94256</v>
      </c>
      <c r="AA9" s="5">
        <f t="shared" si="8"/>
        <v>5073</v>
      </c>
      <c r="AB9" s="5">
        <f t="shared" si="9"/>
        <v>5674.5</v>
      </c>
      <c r="AC9" s="4">
        <f t="shared" si="10"/>
        <v>6675</v>
      </c>
      <c r="AD9" s="5">
        <f t="shared" si="11"/>
        <v>3600.0442499999999</v>
      </c>
      <c r="AE9" s="5">
        <f t="shared" si="12"/>
        <v>4076.3991209999999</v>
      </c>
      <c r="AF9" s="5">
        <f t="shared" si="13"/>
        <v>4659.9674999999997</v>
      </c>
      <c r="AG9" s="5">
        <f t="shared" si="14"/>
        <v>123601.51925000001</v>
      </c>
      <c r="AH9" s="5">
        <f t="shared" si="15"/>
        <v>139956.369821</v>
      </c>
      <c r="AI9" s="5">
        <f t="shared" si="16"/>
        <v>159992.2175</v>
      </c>
      <c r="AK9" s="16" t="s">
        <v>44</v>
      </c>
      <c r="AL9" s="16" t="s">
        <v>45</v>
      </c>
      <c r="AM9" s="23" t="s">
        <v>46</v>
      </c>
      <c r="AN9" s="22">
        <v>3.3820000000000001</v>
      </c>
      <c r="AO9" s="22">
        <v>3.7829999999999999</v>
      </c>
      <c r="AP9" s="22">
        <v>4.45</v>
      </c>
      <c r="AQ9" s="22">
        <v>16000</v>
      </c>
      <c r="AR9" s="22">
        <v>20292</v>
      </c>
      <c r="AS9" s="22">
        <v>35306</v>
      </c>
      <c r="AT9" s="22">
        <v>53400</v>
      </c>
      <c r="AU9" s="22">
        <v>71880</v>
      </c>
      <c r="AV9" s="22">
        <v>5073</v>
      </c>
      <c r="AW9" s="22">
        <v>5674.5</v>
      </c>
      <c r="AX9" s="22">
        <v>6675</v>
      </c>
      <c r="AY9" s="22">
        <v>2917</v>
      </c>
      <c r="AZ9" s="22">
        <v>3386</v>
      </c>
      <c r="BA9" s="22">
        <v>3959</v>
      </c>
      <c r="BB9" s="22">
        <v>100162</v>
      </c>
      <c r="BC9" s="22">
        <v>116246</v>
      </c>
      <c r="BD9" s="22">
        <v>135914</v>
      </c>
      <c r="BE9" s="22">
        <v>3.8879999999999999</v>
      </c>
      <c r="BF9" s="22">
        <v>4.2889999999999997</v>
      </c>
      <c r="BG9" s="22">
        <v>4.9560000000000004</v>
      </c>
      <c r="BH9" s="22" t="s">
        <v>47</v>
      </c>
      <c r="BI9" s="16"/>
    </row>
    <row r="10" spans="1:61" ht="24" customHeight="1" thickBot="1" x14ac:dyDescent="0.3">
      <c r="A10" s="4" t="s">
        <v>215</v>
      </c>
      <c r="B10" s="2" t="s">
        <v>219</v>
      </c>
      <c r="C10" s="4">
        <f>I1</f>
        <v>16300</v>
      </c>
      <c r="D10" s="4">
        <v>3.56</v>
      </c>
      <c r="E10" s="4">
        <v>3.911</v>
      </c>
      <c r="F10" s="4">
        <v>4.4960000000000004</v>
      </c>
      <c r="G10" s="4">
        <v>2.964</v>
      </c>
      <c r="H10" s="4">
        <v>3.3149999999999999</v>
      </c>
      <c r="I10" s="4">
        <v>3.9</v>
      </c>
      <c r="J10" s="5">
        <f t="shared" si="0"/>
        <v>18117.45</v>
      </c>
      <c r="K10" s="5">
        <f t="shared" si="1"/>
        <v>31502.113499999999</v>
      </c>
      <c r="L10" s="3">
        <f t="shared" si="2"/>
        <v>47677.5</v>
      </c>
      <c r="M10" s="3">
        <v>2</v>
      </c>
      <c r="N10" s="3">
        <v>48</v>
      </c>
      <c r="O10" s="5">
        <f t="shared" si="3"/>
        <v>50</v>
      </c>
      <c r="P10" s="3" t="s">
        <v>211</v>
      </c>
      <c r="Q10" s="3" t="s">
        <v>211</v>
      </c>
      <c r="R10" s="3" t="s">
        <v>207</v>
      </c>
      <c r="S10" s="34">
        <v>2.5</v>
      </c>
      <c r="T10" s="34">
        <v>0.48</v>
      </c>
      <c r="U10" s="34">
        <f t="shared" si="4"/>
        <v>2.98</v>
      </c>
      <c r="V10" s="3">
        <v>40000</v>
      </c>
      <c r="W10" s="2">
        <v>27000</v>
      </c>
      <c r="X10" s="4">
        <f t="shared" si="5"/>
        <v>100000</v>
      </c>
      <c r="Y10" s="4">
        <f t="shared" si="6"/>
        <v>12960</v>
      </c>
      <c r="Z10" s="4">
        <f t="shared" si="7"/>
        <v>112960</v>
      </c>
      <c r="AA10" s="5">
        <f t="shared" si="8"/>
        <v>4446</v>
      </c>
      <c r="AB10" s="5">
        <f t="shared" si="9"/>
        <v>4972.5</v>
      </c>
      <c r="AC10" s="4">
        <f t="shared" si="10"/>
        <v>5850</v>
      </c>
      <c r="AD10" s="5">
        <f t="shared" si="11"/>
        <v>4065.7035000000001</v>
      </c>
      <c r="AE10" s="5">
        <f t="shared" si="12"/>
        <v>4483.0384050000002</v>
      </c>
      <c r="AF10" s="5">
        <f t="shared" si="13"/>
        <v>4994.625</v>
      </c>
      <c r="AG10" s="5">
        <f t="shared" si="14"/>
        <v>139589.15350000001</v>
      </c>
      <c r="AH10" s="5">
        <f t="shared" si="15"/>
        <v>153917.65190500001</v>
      </c>
      <c r="AI10" s="5">
        <f t="shared" si="16"/>
        <v>171482.125</v>
      </c>
      <c r="AK10" s="16" t="s">
        <v>48</v>
      </c>
      <c r="AL10" s="16" t="s">
        <v>49</v>
      </c>
      <c r="AM10" s="23" t="s">
        <v>50</v>
      </c>
      <c r="AN10" s="22">
        <v>2.964</v>
      </c>
      <c r="AO10" s="22">
        <v>3.3149999999999999</v>
      </c>
      <c r="AP10" s="22">
        <v>3.9</v>
      </c>
      <c r="AQ10" s="22">
        <v>16000</v>
      </c>
      <c r="AR10" s="22">
        <v>17784</v>
      </c>
      <c r="AS10" s="22">
        <v>30938</v>
      </c>
      <c r="AT10" s="22">
        <v>46800</v>
      </c>
      <c r="AU10" s="22">
        <v>89550</v>
      </c>
      <c r="AV10" s="22">
        <v>4446</v>
      </c>
      <c r="AW10" s="22">
        <v>4972.5</v>
      </c>
      <c r="AX10" s="22">
        <v>5850</v>
      </c>
      <c r="AY10" s="22">
        <v>3353</v>
      </c>
      <c r="AZ10" s="22">
        <v>3764</v>
      </c>
      <c r="BA10" s="22">
        <v>4266</v>
      </c>
      <c r="BB10" s="22">
        <v>115133</v>
      </c>
      <c r="BC10" s="22">
        <v>129225</v>
      </c>
      <c r="BD10" s="22">
        <v>146466</v>
      </c>
      <c r="BE10" s="22">
        <v>3.56</v>
      </c>
      <c r="BF10" s="22">
        <v>3.911</v>
      </c>
      <c r="BG10" s="22">
        <v>4.4960000000000004</v>
      </c>
      <c r="BH10" s="22" t="s">
        <v>51</v>
      </c>
      <c r="BI10" s="16"/>
    </row>
    <row r="11" spans="1:61" ht="24" customHeight="1" thickBot="1" x14ac:dyDescent="0.3">
      <c r="A11" s="4" t="s">
        <v>215</v>
      </c>
      <c r="B11" s="2" t="s">
        <v>220</v>
      </c>
      <c r="C11" s="4">
        <f>I1</f>
        <v>16300</v>
      </c>
      <c r="D11" s="4">
        <v>3.1179999999999999</v>
      </c>
      <c r="E11" s="4">
        <v>3.3929999999999998</v>
      </c>
      <c r="F11" s="4">
        <v>3.85</v>
      </c>
      <c r="G11" s="4">
        <v>2.3180000000000001</v>
      </c>
      <c r="H11" s="4">
        <v>2.593</v>
      </c>
      <c r="I11" s="4">
        <v>3.05</v>
      </c>
      <c r="J11" s="5">
        <f t="shared" si="0"/>
        <v>14168.775</v>
      </c>
      <c r="K11" s="5">
        <f t="shared" si="1"/>
        <v>24641.019699999997</v>
      </c>
      <c r="L11" s="3">
        <f t="shared" si="2"/>
        <v>37286.25</v>
      </c>
      <c r="M11" s="3">
        <v>2</v>
      </c>
      <c r="N11" s="3">
        <v>0</v>
      </c>
      <c r="O11" s="5">
        <f t="shared" si="3"/>
        <v>2</v>
      </c>
      <c r="P11" s="3" t="s">
        <v>211</v>
      </c>
      <c r="Q11" s="3" t="s">
        <v>210</v>
      </c>
      <c r="R11" s="3" t="s">
        <v>207</v>
      </c>
      <c r="S11" s="34">
        <v>4</v>
      </c>
      <c r="T11" s="34">
        <v>0</v>
      </c>
      <c r="U11" s="34">
        <f t="shared" si="4"/>
        <v>4</v>
      </c>
      <c r="V11" s="3">
        <v>40000</v>
      </c>
      <c r="W11" s="2">
        <v>0</v>
      </c>
      <c r="X11" s="4">
        <f t="shared" si="5"/>
        <v>160000</v>
      </c>
      <c r="Y11" s="4">
        <f t="shared" si="6"/>
        <v>0</v>
      </c>
      <c r="Z11" s="4">
        <f t="shared" si="7"/>
        <v>160000</v>
      </c>
      <c r="AA11" s="5">
        <f t="shared" si="8"/>
        <v>3477</v>
      </c>
      <c r="AB11" s="5">
        <f t="shared" si="9"/>
        <v>3889.5</v>
      </c>
      <c r="AC11" s="4">
        <f t="shared" si="10"/>
        <v>4575</v>
      </c>
      <c r="AD11" s="5">
        <f t="shared" si="11"/>
        <v>5329.3732499999996</v>
      </c>
      <c r="AE11" s="5">
        <f t="shared" si="12"/>
        <v>5655.9155909999999</v>
      </c>
      <c r="AF11" s="5">
        <f t="shared" si="13"/>
        <v>6055.8374999999996</v>
      </c>
      <c r="AG11" s="5">
        <f t="shared" si="14"/>
        <v>182975.14825</v>
      </c>
      <c r="AH11" s="5">
        <f t="shared" si="15"/>
        <v>194186.435291</v>
      </c>
      <c r="AI11" s="5">
        <f t="shared" si="16"/>
        <v>207917.08749999999</v>
      </c>
      <c r="AK11" s="16" t="s">
        <v>52</v>
      </c>
      <c r="AL11" s="16" t="s">
        <v>53</v>
      </c>
      <c r="AM11" s="23" t="s">
        <v>54</v>
      </c>
      <c r="AN11" s="22">
        <v>2.3180000000000001</v>
      </c>
      <c r="AO11" s="22">
        <v>2.593</v>
      </c>
      <c r="AP11" s="22">
        <v>3.05</v>
      </c>
      <c r="AQ11" s="22">
        <v>16000</v>
      </c>
      <c r="AR11" s="22">
        <v>13908</v>
      </c>
      <c r="AS11" s="22">
        <v>24200</v>
      </c>
      <c r="AT11" s="22">
        <v>36600</v>
      </c>
      <c r="AU11" s="22">
        <v>140000</v>
      </c>
      <c r="AV11" s="22">
        <v>3477</v>
      </c>
      <c r="AW11" s="22">
        <v>3889.5</v>
      </c>
      <c r="AX11" s="22">
        <v>4575</v>
      </c>
      <c r="AY11" s="22">
        <v>4722</v>
      </c>
      <c r="AZ11" s="22">
        <v>5043</v>
      </c>
      <c r="BA11" s="22">
        <v>5435</v>
      </c>
      <c r="BB11" s="22">
        <v>162107</v>
      </c>
      <c r="BC11" s="22">
        <v>173132</v>
      </c>
      <c r="BD11" s="22">
        <v>186610</v>
      </c>
      <c r="BE11" s="22">
        <v>3.1179999999999999</v>
      </c>
      <c r="BF11" s="22">
        <v>3.3929999999999998</v>
      </c>
      <c r="BG11" s="22">
        <v>3.85</v>
      </c>
      <c r="BH11" s="22" t="s">
        <v>55</v>
      </c>
      <c r="BI11" s="16"/>
    </row>
    <row r="12" spans="1:61" ht="24" customHeight="1" thickBot="1" x14ac:dyDescent="0.3">
      <c r="A12" s="4" t="s">
        <v>6</v>
      </c>
      <c r="B12" s="2" t="s">
        <v>221</v>
      </c>
      <c r="C12" s="4">
        <f>I1</f>
        <v>16300</v>
      </c>
      <c r="D12" s="4">
        <v>2.3199999999999998</v>
      </c>
      <c r="E12" s="4">
        <v>2.5680000000000001</v>
      </c>
      <c r="F12" s="4">
        <v>2.98</v>
      </c>
      <c r="G12" s="4">
        <v>2.09</v>
      </c>
      <c r="H12" s="4">
        <v>2.3380000000000001</v>
      </c>
      <c r="I12" s="4">
        <v>2.75</v>
      </c>
      <c r="J12" s="5">
        <f t="shared" si="0"/>
        <v>12775.125</v>
      </c>
      <c r="K12" s="5">
        <f t="shared" si="1"/>
        <v>22217.780200000001</v>
      </c>
      <c r="L12" s="3">
        <f t="shared" si="2"/>
        <v>33618.75</v>
      </c>
      <c r="M12" s="3">
        <v>2</v>
      </c>
      <c r="N12" s="3">
        <v>15</v>
      </c>
      <c r="O12" s="5">
        <f t="shared" si="3"/>
        <v>17</v>
      </c>
      <c r="P12" s="3" t="s">
        <v>206</v>
      </c>
      <c r="Q12" s="3" t="s">
        <v>211</v>
      </c>
      <c r="R12" s="3" t="s">
        <v>207</v>
      </c>
      <c r="S12" s="34">
        <v>0.9</v>
      </c>
      <c r="T12" s="34">
        <v>0.15</v>
      </c>
      <c r="U12" s="34">
        <f t="shared" si="4"/>
        <v>1.05</v>
      </c>
      <c r="V12" s="3">
        <v>36000</v>
      </c>
      <c r="W12" s="2">
        <v>27000</v>
      </c>
      <c r="X12" s="4">
        <f t="shared" si="5"/>
        <v>32400</v>
      </c>
      <c r="Y12" s="4">
        <f t="shared" si="6"/>
        <v>4050</v>
      </c>
      <c r="Z12" s="4">
        <f t="shared" si="7"/>
        <v>36450</v>
      </c>
      <c r="AA12" s="5">
        <f t="shared" si="8"/>
        <v>3135</v>
      </c>
      <c r="AB12" s="5">
        <f t="shared" si="9"/>
        <v>3507</v>
      </c>
      <c r="AC12" s="4">
        <f t="shared" si="10"/>
        <v>4125</v>
      </c>
      <c r="AD12" s="5">
        <f t="shared" si="11"/>
        <v>1570.80375</v>
      </c>
      <c r="AE12" s="5">
        <f t="shared" si="12"/>
        <v>1865.243406</v>
      </c>
      <c r="AF12" s="5">
        <f t="shared" si="13"/>
        <v>2225.8125</v>
      </c>
      <c r="AG12" s="5">
        <f t="shared" si="14"/>
        <v>53930.928749999999</v>
      </c>
      <c r="AH12" s="5">
        <f t="shared" si="15"/>
        <v>64040.023606000002</v>
      </c>
      <c r="AI12" s="5">
        <f t="shared" si="16"/>
        <v>76419.5625</v>
      </c>
      <c r="AK12" s="16" t="s">
        <v>56</v>
      </c>
      <c r="AL12" s="16" t="s">
        <v>57</v>
      </c>
      <c r="AM12" s="23" t="s">
        <v>58</v>
      </c>
      <c r="AN12" s="22">
        <v>2.09</v>
      </c>
      <c r="AO12" s="22">
        <v>2.3380000000000001</v>
      </c>
      <c r="AP12" s="22">
        <v>2.75</v>
      </c>
      <c r="AQ12" s="22">
        <v>16000</v>
      </c>
      <c r="AR12" s="22">
        <v>12540</v>
      </c>
      <c r="AS12" s="22">
        <v>21820</v>
      </c>
      <c r="AT12" s="22">
        <v>33000</v>
      </c>
      <c r="AU12" s="22">
        <v>42000</v>
      </c>
      <c r="AV12" s="22">
        <v>3135</v>
      </c>
      <c r="AW12" s="22">
        <v>3507</v>
      </c>
      <c r="AX12" s="22">
        <v>4125</v>
      </c>
      <c r="AY12" s="22">
        <v>1730</v>
      </c>
      <c r="AZ12" s="22">
        <v>2020</v>
      </c>
      <c r="BA12" s="22">
        <v>2374</v>
      </c>
      <c r="BB12" s="22">
        <v>59405</v>
      </c>
      <c r="BC12" s="22">
        <v>69347</v>
      </c>
      <c r="BD12" s="22">
        <v>81499</v>
      </c>
      <c r="BE12" s="22">
        <v>2.3199999999999998</v>
      </c>
      <c r="BF12" s="22">
        <v>2.5680000000000001</v>
      </c>
      <c r="BG12" s="22">
        <v>2.98</v>
      </c>
      <c r="BH12" s="22" t="s">
        <v>59</v>
      </c>
      <c r="BI12" s="16"/>
    </row>
    <row r="13" spans="1:61" ht="24" customHeight="1" thickBot="1" x14ac:dyDescent="0.3">
      <c r="A13" s="4" t="s">
        <v>6</v>
      </c>
      <c r="B13" s="2" t="s">
        <v>222</v>
      </c>
      <c r="C13" s="4">
        <f>I1</f>
        <v>16300</v>
      </c>
      <c r="D13" s="4">
        <v>2.774</v>
      </c>
      <c r="E13" s="4">
        <v>3.0529999999999999</v>
      </c>
      <c r="F13" s="4">
        <v>3.5179999999999998</v>
      </c>
      <c r="G13" s="4">
        <v>2.3559999999999999</v>
      </c>
      <c r="H13" s="4">
        <v>2.6349999999999998</v>
      </c>
      <c r="I13" s="4">
        <v>3.1</v>
      </c>
      <c r="J13" s="5">
        <f t="shared" si="0"/>
        <v>14401.05</v>
      </c>
      <c r="K13" s="5">
        <f t="shared" si="1"/>
        <v>25040.141499999998</v>
      </c>
      <c r="L13" s="3">
        <f t="shared" si="2"/>
        <v>37897.5</v>
      </c>
      <c r="M13" s="3">
        <v>1</v>
      </c>
      <c r="N13" s="3">
        <v>2</v>
      </c>
      <c r="O13" s="5">
        <f t="shared" si="3"/>
        <v>3</v>
      </c>
      <c r="P13" s="3" t="s">
        <v>223</v>
      </c>
      <c r="Q13" s="3" t="s">
        <v>224</v>
      </c>
      <c r="R13" s="3" t="s">
        <v>207</v>
      </c>
      <c r="S13" s="34">
        <v>1.78</v>
      </c>
      <c r="T13" s="34">
        <v>0.31</v>
      </c>
      <c r="U13" s="34">
        <f t="shared" si="4"/>
        <v>2.09</v>
      </c>
      <c r="V13" s="3">
        <v>40000</v>
      </c>
      <c r="W13" s="2">
        <v>30000</v>
      </c>
      <c r="X13" s="4">
        <f t="shared" si="5"/>
        <v>71200</v>
      </c>
      <c r="Y13" s="4">
        <f t="shared" si="6"/>
        <v>9300</v>
      </c>
      <c r="Z13" s="4">
        <f t="shared" si="7"/>
        <v>80500</v>
      </c>
      <c r="AA13" s="5">
        <f t="shared" si="8"/>
        <v>3534</v>
      </c>
      <c r="AB13" s="5">
        <f t="shared" si="9"/>
        <v>3952.4999999999995</v>
      </c>
      <c r="AC13" s="4">
        <f t="shared" si="10"/>
        <v>4650</v>
      </c>
      <c r="AD13" s="5">
        <f t="shared" si="11"/>
        <v>2953.0515</v>
      </c>
      <c r="AE13" s="5">
        <f t="shared" si="12"/>
        <v>3284.7792449999997</v>
      </c>
      <c r="AF13" s="5">
        <f t="shared" si="13"/>
        <v>3691.4249999999997</v>
      </c>
      <c r="AG13" s="5">
        <f t="shared" si="14"/>
        <v>101388.1015</v>
      </c>
      <c r="AH13" s="5">
        <f t="shared" si="15"/>
        <v>112777.420745</v>
      </c>
      <c r="AI13" s="5">
        <f t="shared" si="16"/>
        <v>126738.925</v>
      </c>
      <c r="AK13" s="16" t="s">
        <v>60</v>
      </c>
      <c r="AL13" s="16" t="s">
        <v>61</v>
      </c>
      <c r="AM13" s="23" t="s">
        <v>62</v>
      </c>
      <c r="AN13" s="22">
        <v>2.3559999999999999</v>
      </c>
      <c r="AO13" s="22">
        <v>2.6349999999999998</v>
      </c>
      <c r="AP13" s="22">
        <v>3.1</v>
      </c>
      <c r="AQ13" s="22">
        <v>16000</v>
      </c>
      <c r="AR13" s="22">
        <v>14136</v>
      </c>
      <c r="AS13" s="22">
        <v>24592</v>
      </c>
      <c r="AT13" s="22">
        <v>37200</v>
      </c>
      <c r="AU13" s="22">
        <v>92169</v>
      </c>
      <c r="AV13" s="22">
        <v>3534</v>
      </c>
      <c r="AW13" s="22">
        <v>3952.5</v>
      </c>
      <c r="AX13" s="22">
        <v>4650</v>
      </c>
      <c r="AY13" s="22">
        <v>3295</v>
      </c>
      <c r="AZ13" s="22">
        <v>3621</v>
      </c>
      <c r="BA13" s="22">
        <v>4021</v>
      </c>
      <c r="BB13" s="22">
        <v>113134</v>
      </c>
      <c r="BC13" s="22">
        <v>124335</v>
      </c>
      <c r="BD13" s="22">
        <v>138040</v>
      </c>
      <c r="BE13" s="22">
        <v>2.774</v>
      </c>
      <c r="BF13" s="22">
        <v>3.0529999999999999</v>
      </c>
      <c r="BG13" s="22">
        <v>3.5179999999999998</v>
      </c>
      <c r="BH13" s="22" t="s">
        <v>63</v>
      </c>
      <c r="BI13" s="16"/>
    </row>
    <row r="14" spans="1:61" ht="24" customHeight="1" thickBot="1" x14ac:dyDescent="0.3">
      <c r="A14" s="4" t="s">
        <v>6</v>
      </c>
      <c r="B14" s="2" t="s">
        <v>225</v>
      </c>
      <c r="C14" s="4">
        <f>I1</f>
        <v>16300</v>
      </c>
      <c r="D14" s="4">
        <v>3.0910000000000002</v>
      </c>
      <c r="E14" s="4">
        <v>3.415</v>
      </c>
      <c r="F14" s="4">
        <v>3.9550000000000001</v>
      </c>
      <c r="G14" s="4">
        <v>2.7360000000000002</v>
      </c>
      <c r="H14" s="4">
        <v>3.06</v>
      </c>
      <c r="I14" s="4">
        <v>3.6</v>
      </c>
      <c r="J14" s="5">
        <f t="shared" si="0"/>
        <v>16723.800000000003</v>
      </c>
      <c r="K14" s="5">
        <f t="shared" si="1"/>
        <v>29078.874</v>
      </c>
      <c r="L14" s="3">
        <f t="shared" si="2"/>
        <v>44010</v>
      </c>
      <c r="M14" s="3">
        <v>1</v>
      </c>
      <c r="N14" s="3">
        <v>16</v>
      </c>
      <c r="O14" s="5">
        <f t="shared" si="3"/>
        <v>17</v>
      </c>
      <c r="P14" s="3" t="s">
        <v>211</v>
      </c>
      <c r="Q14" s="3" t="s">
        <v>226</v>
      </c>
      <c r="R14" s="3" t="s">
        <v>207</v>
      </c>
      <c r="S14" s="34">
        <v>1.33</v>
      </c>
      <c r="T14" s="34">
        <v>0.44600000000000001</v>
      </c>
      <c r="U14" s="34">
        <f t="shared" si="4"/>
        <v>1.776</v>
      </c>
      <c r="V14" s="3">
        <v>40000</v>
      </c>
      <c r="W14" s="2">
        <v>27000</v>
      </c>
      <c r="X14" s="4">
        <f t="shared" si="5"/>
        <v>53200</v>
      </c>
      <c r="Y14" s="4">
        <f t="shared" si="6"/>
        <v>12042</v>
      </c>
      <c r="Z14" s="4">
        <f t="shared" si="7"/>
        <v>65242</v>
      </c>
      <c r="AA14" s="5">
        <f t="shared" si="8"/>
        <v>4104</v>
      </c>
      <c r="AB14" s="5">
        <f t="shared" si="9"/>
        <v>4590</v>
      </c>
      <c r="AC14" s="4">
        <f t="shared" si="10"/>
        <v>5400</v>
      </c>
      <c r="AD14" s="5">
        <f t="shared" si="11"/>
        <v>2582.0940000000001</v>
      </c>
      <c r="AE14" s="5">
        <f t="shared" si="12"/>
        <v>2967.3262199999999</v>
      </c>
      <c r="AF14" s="5">
        <f t="shared" si="13"/>
        <v>3439.56</v>
      </c>
      <c r="AG14" s="5">
        <f t="shared" si="14"/>
        <v>88651.894</v>
      </c>
      <c r="AH14" s="5">
        <f t="shared" si="15"/>
        <v>101878.20022</v>
      </c>
      <c r="AI14" s="5">
        <f t="shared" si="16"/>
        <v>118091.56</v>
      </c>
      <c r="AK14" s="16" t="s">
        <v>64</v>
      </c>
      <c r="AL14" s="16" t="s">
        <v>65</v>
      </c>
      <c r="AM14" s="23" t="s">
        <v>66</v>
      </c>
      <c r="AN14" s="22">
        <v>2.7360000000000002</v>
      </c>
      <c r="AO14" s="22">
        <v>3.06</v>
      </c>
      <c r="AP14" s="22">
        <v>3.6</v>
      </c>
      <c r="AQ14" s="22">
        <v>16000</v>
      </c>
      <c r="AR14" s="22">
        <v>16416</v>
      </c>
      <c r="AS14" s="22">
        <v>28558</v>
      </c>
      <c r="AT14" s="22">
        <v>43200</v>
      </c>
      <c r="AU14" s="22">
        <v>69072</v>
      </c>
      <c r="AV14" s="22">
        <v>4104</v>
      </c>
      <c r="AW14" s="22">
        <v>4590</v>
      </c>
      <c r="AX14" s="22">
        <v>5400</v>
      </c>
      <c r="AY14" s="22">
        <v>2688</v>
      </c>
      <c r="AZ14" s="22">
        <v>3067</v>
      </c>
      <c r="BA14" s="22">
        <v>3530</v>
      </c>
      <c r="BB14" s="22">
        <v>92280</v>
      </c>
      <c r="BC14" s="22">
        <v>105287</v>
      </c>
      <c r="BD14" s="22">
        <v>121202</v>
      </c>
      <c r="BE14" s="22">
        <v>3.0910000000000002</v>
      </c>
      <c r="BF14" s="22">
        <v>3.415</v>
      </c>
      <c r="BG14" s="22">
        <v>3.9550000000000001</v>
      </c>
      <c r="BH14" s="22" t="s">
        <v>67</v>
      </c>
      <c r="BI14" s="16"/>
    </row>
    <row r="15" spans="1:61" ht="24" customHeight="1" thickBot="1" x14ac:dyDescent="0.3">
      <c r="A15" s="4" t="s">
        <v>6</v>
      </c>
      <c r="B15" s="2" t="s">
        <v>227</v>
      </c>
      <c r="C15" s="4">
        <f>I1</f>
        <v>16300</v>
      </c>
      <c r="D15" s="4">
        <v>3.0760000000000001</v>
      </c>
      <c r="E15" s="4">
        <v>3.4</v>
      </c>
      <c r="F15" s="4">
        <v>3.94</v>
      </c>
      <c r="G15" s="4">
        <v>2.7360000000000002</v>
      </c>
      <c r="H15" s="4">
        <v>3.06</v>
      </c>
      <c r="I15" s="4">
        <v>3.6</v>
      </c>
      <c r="J15" s="5">
        <f t="shared" si="0"/>
        <v>16723.800000000003</v>
      </c>
      <c r="K15" s="5">
        <f t="shared" si="1"/>
        <v>29078.874</v>
      </c>
      <c r="L15" s="3">
        <f t="shared" si="2"/>
        <v>44010</v>
      </c>
      <c r="M15" s="3">
        <v>1</v>
      </c>
      <c r="N15" s="3">
        <v>2</v>
      </c>
      <c r="O15" s="5">
        <f t="shared" si="3"/>
        <v>3</v>
      </c>
      <c r="P15" s="3" t="s">
        <v>228</v>
      </c>
      <c r="Q15" s="3" t="s">
        <v>228</v>
      </c>
      <c r="R15" s="3" t="s">
        <v>207</v>
      </c>
      <c r="S15" s="34">
        <v>1.5</v>
      </c>
      <c r="T15" s="34">
        <v>0.2</v>
      </c>
      <c r="U15" s="34">
        <f t="shared" si="4"/>
        <v>1.7</v>
      </c>
      <c r="V15" s="3">
        <v>40000</v>
      </c>
      <c r="W15" s="2">
        <v>30000</v>
      </c>
      <c r="X15" s="4">
        <f t="shared" si="5"/>
        <v>60000</v>
      </c>
      <c r="Y15" s="4">
        <f t="shared" si="6"/>
        <v>6000</v>
      </c>
      <c r="Z15" s="4">
        <f t="shared" si="7"/>
        <v>66000</v>
      </c>
      <c r="AA15" s="5">
        <f t="shared" si="8"/>
        <v>4104</v>
      </c>
      <c r="AB15" s="5">
        <f t="shared" si="9"/>
        <v>4590</v>
      </c>
      <c r="AC15" s="4">
        <f t="shared" si="10"/>
        <v>5400</v>
      </c>
      <c r="AD15" s="5">
        <f t="shared" si="11"/>
        <v>2604.8339999999998</v>
      </c>
      <c r="AE15" s="5">
        <f t="shared" si="12"/>
        <v>2990.0662199999997</v>
      </c>
      <c r="AF15" s="5">
        <f t="shared" si="13"/>
        <v>3462.2999999999997</v>
      </c>
      <c r="AG15" s="5">
        <f t="shared" si="14"/>
        <v>89432.634000000005</v>
      </c>
      <c r="AH15" s="5">
        <f t="shared" si="15"/>
        <v>102658.94021999999</v>
      </c>
      <c r="AI15" s="5">
        <f t="shared" si="16"/>
        <v>118872.3</v>
      </c>
      <c r="AK15" s="16" t="s">
        <v>68</v>
      </c>
      <c r="AL15" s="16" t="s">
        <v>69</v>
      </c>
      <c r="AM15" s="23" t="s">
        <v>70</v>
      </c>
      <c r="AN15" s="22">
        <v>2.7360000000000002</v>
      </c>
      <c r="AO15" s="22">
        <v>3.06</v>
      </c>
      <c r="AP15" s="22">
        <v>3.6</v>
      </c>
      <c r="AQ15" s="22">
        <v>16000</v>
      </c>
      <c r="AR15" s="22">
        <v>16416</v>
      </c>
      <c r="AS15" s="22">
        <v>28558</v>
      </c>
      <c r="AT15" s="22">
        <v>43200</v>
      </c>
      <c r="AU15" s="22">
        <v>68000</v>
      </c>
      <c r="AV15" s="22">
        <v>4104</v>
      </c>
      <c r="AW15" s="22">
        <v>4590</v>
      </c>
      <c r="AX15" s="22">
        <v>5400</v>
      </c>
      <c r="AY15" s="22">
        <v>2656</v>
      </c>
      <c r="AZ15" s="22">
        <v>3034</v>
      </c>
      <c r="BA15" s="22">
        <v>3498</v>
      </c>
      <c r="BB15" s="22">
        <v>91176</v>
      </c>
      <c r="BC15" s="22">
        <v>104183</v>
      </c>
      <c r="BD15" s="22">
        <v>120098</v>
      </c>
      <c r="BE15" s="22">
        <v>3.0760000000000001</v>
      </c>
      <c r="BF15" s="22">
        <v>3.4</v>
      </c>
      <c r="BG15" s="22">
        <v>3.94</v>
      </c>
      <c r="BH15" s="22" t="s">
        <v>71</v>
      </c>
      <c r="BI15" s="16"/>
    </row>
    <row r="16" spans="1:61" ht="24" customHeight="1" thickBot="1" x14ac:dyDescent="0.3">
      <c r="A16" s="4" t="s">
        <v>6</v>
      </c>
      <c r="B16" s="2" t="s">
        <v>10</v>
      </c>
      <c r="C16" s="4">
        <f>I1</f>
        <v>16300</v>
      </c>
      <c r="D16" s="4">
        <v>3.0920000000000001</v>
      </c>
      <c r="E16" s="4">
        <v>3.4340000000000002</v>
      </c>
      <c r="F16" s="4">
        <v>4.0039999999999996</v>
      </c>
      <c r="G16" s="4">
        <v>2.8879999999999999</v>
      </c>
      <c r="H16" s="4">
        <v>3.23</v>
      </c>
      <c r="I16" s="4">
        <v>3.8</v>
      </c>
      <c r="J16" s="5">
        <f t="shared" si="0"/>
        <v>17652.899999999998</v>
      </c>
      <c r="K16" s="5">
        <f t="shared" si="1"/>
        <v>30694.366999999998</v>
      </c>
      <c r="L16" s="3">
        <f t="shared" si="2"/>
        <v>46455</v>
      </c>
      <c r="M16" s="3">
        <v>1</v>
      </c>
      <c r="N16" s="3">
        <v>2</v>
      </c>
      <c r="O16" s="5">
        <f t="shared" si="3"/>
        <v>3</v>
      </c>
      <c r="P16" s="3" t="s">
        <v>211</v>
      </c>
      <c r="Q16" s="3" t="s">
        <v>224</v>
      </c>
      <c r="R16" s="3" t="s">
        <v>207</v>
      </c>
      <c r="S16" s="34">
        <v>0.5</v>
      </c>
      <c r="T16" s="34">
        <v>0.52</v>
      </c>
      <c r="U16" s="34">
        <f t="shared" si="4"/>
        <v>1.02</v>
      </c>
      <c r="V16" s="3">
        <v>36000</v>
      </c>
      <c r="W16" s="2">
        <v>30000</v>
      </c>
      <c r="X16" s="4">
        <f t="shared" si="5"/>
        <v>18000</v>
      </c>
      <c r="Y16" s="4">
        <f t="shared" si="6"/>
        <v>15600</v>
      </c>
      <c r="Z16" s="4">
        <f t="shared" si="7"/>
        <v>33600</v>
      </c>
      <c r="AA16" s="5">
        <f t="shared" si="8"/>
        <v>4332</v>
      </c>
      <c r="AB16" s="5">
        <f t="shared" si="9"/>
        <v>4845</v>
      </c>
      <c r="AC16" s="4">
        <f t="shared" si="10"/>
        <v>5700</v>
      </c>
      <c r="AD16" s="5">
        <f t="shared" si="11"/>
        <v>1667.5469999999998</v>
      </c>
      <c r="AE16" s="5">
        <f t="shared" si="12"/>
        <v>2074.1810099999998</v>
      </c>
      <c r="AF16" s="5">
        <f t="shared" si="13"/>
        <v>2572.65</v>
      </c>
      <c r="AG16" s="5">
        <f t="shared" si="14"/>
        <v>57252.446999999993</v>
      </c>
      <c r="AH16" s="5">
        <f t="shared" si="15"/>
        <v>71213.548009999999</v>
      </c>
      <c r="AI16" s="5">
        <f t="shared" si="16"/>
        <v>88327.65</v>
      </c>
      <c r="AK16" s="16" t="s">
        <v>72</v>
      </c>
      <c r="AL16" s="16" t="s">
        <v>73</v>
      </c>
      <c r="AM16" s="23" t="s">
        <v>74</v>
      </c>
      <c r="AN16" s="22">
        <v>2.8879999999999999</v>
      </c>
      <c r="AO16" s="22">
        <v>3.23</v>
      </c>
      <c r="AP16" s="22">
        <v>3.8</v>
      </c>
      <c r="AQ16" s="22">
        <v>16000</v>
      </c>
      <c r="AR16" s="22">
        <v>17328</v>
      </c>
      <c r="AS16" s="22">
        <v>30145</v>
      </c>
      <c r="AT16" s="22">
        <v>45600</v>
      </c>
      <c r="AU16" s="22">
        <v>36720</v>
      </c>
      <c r="AV16" s="22">
        <v>4332</v>
      </c>
      <c r="AW16" s="22">
        <v>4845</v>
      </c>
      <c r="AX16" s="22">
        <v>5700</v>
      </c>
      <c r="AY16" s="22">
        <v>1751</v>
      </c>
      <c r="AZ16" s="22">
        <v>2151</v>
      </c>
      <c r="BA16" s="22">
        <v>2641</v>
      </c>
      <c r="BB16" s="22">
        <v>60131</v>
      </c>
      <c r="BC16" s="22">
        <v>73861</v>
      </c>
      <c r="BD16" s="22">
        <v>90661</v>
      </c>
      <c r="BE16" s="22">
        <v>3.0920000000000001</v>
      </c>
      <c r="BF16" s="22">
        <v>3.4340000000000002</v>
      </c>
      <c r="BG16" s="22">
        <v>4.0039999999999996</v>
      </c>
      <c r="BH16" s="22" t="s">
        <v>75</v>
      </c>
      <c r="BI16" s="16"/>
    </row>
    <row r="17" spans="1:61" ht="24" customHeight="1" thickBot="1" x14ac:dyDescent="0.3">
      <c r="A17" s="4" t="s">
        <v>6</v>
      </c>
      <c r="B17" s="2" t="s">
        <v>229</v>
      </c>
      <c r="C17" s="4">
        <f>I1</f>
        <v>16300</v>
      </c>
      <c r="D17" s="4">
        <v>2.1230000000000002</v>
      </c>
      <c r="E17" s="4">
        <v>2.3319999999999999</v>
      </c>
      <c r="F17" s="4">
        <v>2.68</v>
      </c>
      <c r="G17" s="4">
        <v>1.7629999999999999</v>
      </c>
      <c r="H17" s="4">
        <v>1.972</v>
      </c>
      <c r="I17" s="4">
        <v>2.3199999999999998</v>
      </c>
      <c r="J17" s="5">
        <f t="shared" si="0"/>
        <v>10776.3375</v>
      </c>
      <c r="K17" s="5">
        <f t="shared" si="1"/>
        <v>18739.718799999999</v>
      </c>
      <c r="L17" s="3">
        <f t="shared" si="2"/>
        <v>28361.999999999996</v>
      </c>
      <c r="M17" s="3">
        <v>0</v>
      </c>
      <c r="N17" s="3">
        <v>6</v>
      </c>
      <c r="O17" s="5">
        <f t="shared" si="3"/>
        <v>6</v>
      </c>
      <c r="P17" s="3" t="s">
        <v>230</v>
      </c>
      <c r="Q17" s="3" t="s">
        <v>210</v>
      </c>
      <c r="R17" s="3" t="s">
        <v>207</v>
      </c>
      <c r="S17" s="34">
        <v>0</v>
      </c>
      <c r="T17" s="34">
        <v>1.5</v>
      </c>
      <c r="U17" s="34">
        <f t="shared" si="4"/>
        <v>1.5</v>
      </c>
      <c r="V17" s="3">
        <v>0</v>
      </c>
      <c r="W17" s="2">
        <v>30000</v>
      </c>
      <c r="X17" s="4">
        <f t="shared" si="5"/>
        <v>0</v>
      </c>
      <c r="Y17" s="4">
        <f t="shared" si="6"/>
        <v>45000</v>
      </c>
      <c r="Z17" s="4">
        <f t="shared" si="7"/>
        <v>45000</v>
      </c>
      <c r="AA17" s="5">
        <f t="shared" si="8"/>
        <v>2644.5</v>
      </c>
      <c r="AB17" s="5">
        <f t="shared" si="9"/>
        <v>2958</v>
      </c>
      <c r="AC17" s="4">
        <f t="shared" si="10"/>
        <v>3479.9999999999995</v>
      </c>
      <c r="AD17" s="5">
        <f t="shared" si="11"/>
        <v>1752.625125</v>
      </c>
      <c r="AE17" s="5">
        <f t="shared" si="12"/>
        <v>2000.931564</v>
      </c>
      <c r="AF17" s="5">
        <f t="shared" si="13"/>
        <v>2305.2599999999998</v>
      </c>
      <c r="AG17" s="5">
        <f t="shared" si="14"/>
        <v>60173.462625</v>
      </c>
      <c r="AH17" s="5">
        <f t="shared" si="15"/>
        <v>68698.650364000001</v>
      </c>
      <c r="AI17" s="5">
        <f t="shared" si="16"/>
        <v>79147.259999999995</v>
      </c>
      <c r="AK17" s="16" t="s">
        <v>76</v>
      </c>
      <c r="AL17" s="16" t="s">
        <v>77</v>
      </c>
      <c r="AM17" s="23" t="s">
        <v>78</v>
      </c>
      <c r="AN17" s="22">
        <v>1.7629999999999999</v>
      </c>
      <c r="AO17" s="22">
        <v>1.972</v>
      </c>
      <c r="AP17" s="22">
        <v>2.3199999999999998</v>
      </c>
      <c r="AQ17" s="22">
        <v>16000</v>
      </c>
      <c r="AR17" s="22">
        <v>10578</v>
      </c>
      <c r="AS17" s="22">
        <v>18404</v>
      </c>
      <c r="AT17" s="22">
        <v>27840</v>
      </c>
      <c r="AU17" s="22">
        <v>52500</v>
      </c>
      <c r="AV17" s="22">
        <v>2644.5</v>
      </c>
      <c r="AW17" s="22">
        <v>2958</v>
      </c>
      <c r="AX17" s="22">
        <v>3480</v>
      </c>
      <c r="AY17" s="22">
        <v>1972</v>
      </c>
      <c r="AZ17" s="22">
        <v>2216</v>
      </c>
      <c r="BA17" s="22">
        <v>2515</v>
      </c>
      <c r="BB17" s="22">
        <v>67694</v>
      </c>
      <c r="BC17" s="22">
        <v>76078</v>
      </c>
      <c r="BD17" s="22">
        <v>86335</v>
      </c>
      <c r="BE17" s="22">
        <v>2.1230000000000002</v>
      </c>
      <c r="BF17" s="22">
        <v>2.3319999999999999</v>
      </c>
      <c r="BG17" s="22">
        <v>2.68</v>
      </c>
      <c r="BH17" s="22" t="s">
        <v>79</v>
      </c>
      <c r="BI17" s="16"/>
    </row>
    <row r="18" spans="1:61" ht="24" customHeight="1" thickBot="1" x14ac:dyDescent="0.3">
      <c r="A18" s="4" t="s">
        <v>6</v>
      </c>
      <c r="B18" s="2" t="s">
        <v>11</v>
      </c>
      <c r="C18" s="4">
        <f>I1</f>
        <v>16300</v>
      </c>
      <c r="D18" s="4">
        <v>5.61</v>
      </c>
      <c r="E18" s="4">
        <v>6.15</v>
      </c>
      <c r="F18" s="4">
        <v>7.05</v>
      </c>
      <c r="G18" s="4">
        <v>4.5599999999999996</v>
      </c>
      <c r="H18" s="4">
        <v>5.0999999999999996</v>
      </c>
      <c r="I18" s="4">
        <v>6</v>
      </c>
      <c r="J18" s="5">
        <f t="shared" si="0"/>
        <v>27872.999999999996</v>
      </c>
      <c r="K18" s="5">
        <f t="shared" si="1"/>
        <v>48464.789999999994</v>
      </c>
      <c r="L18" s="3">
        <f t="shared" si="2"/>
        <v>73350</v>
      </c>
      <c r="M18" s="3">
        <v>0</v>
      </c>
      <c r="N18" s="3">
        <v>15</v>
      </c>
      <c r="O18" s="5">
        <f t="shared" si="3"/>
        <v>15</v>
      </c>
      <c r="P18" s="3" t="s">
        <v>211</v>
      </c>
      <c r="Q18" s="3" t="s">
        <v>210</v>
      </c>
      <c r="R18" s="3" t="s">
        <v>207</v>
      </c>
      <c r="S18" s="34">
        <v>0</v>
      </c>
      <c r="T18" s="34">
        <v>5.25</v>
      </c>
      <c r="U18" s="34">
        <f t="shared" si="4"/>
        <v>5.25</v>
      </c>
      <c r="V18" s="3">
        <v>0</v>
      </c>
      <c r="W18" s="2">
        <v>33000</v>
      </c>
      <c r="X18" s="4">
        <f t="shared" si="5"/>
        <v>0</v>
      </c>
      <c r="Y18" s="4">
        <f t="shared" si="6"/>
        <v>173250</v>
      </c>
      <c r="Z18" s="4">
        <f t="shared" si="7"/>
        <v>173250</v>
      </c>
      <c r="AA18" s="5">
        <f t="shared" si="8"/>
        <v>6839.9999999999991</v>
      </c>
      <c r="AB18" s="5">
        <f t="shared" si="9"/>
        <v>7649.9999999999991</v>
      </c>
      <c r="AC18" s="4">
        <f t="shared" si="10"/>
        <v>9000</v>
      </c>
      <c r="AD18" s="5">
        <f t="shared" si="11"/>
        <v>6238.8899999999994</v>
      </c>
      <c r="AE18" s="5">
        <f t="shared" si="12"/>
        <v>6880.9436999999989</v>
      </c>
      <c r="AF18" s="5">
        <f t="shared" si="13"/>
        <v>7668</v>
      </c>
      <c r="AG18" s="5">
        <f t="shared" si="14"/>
        <v>214201.89</v>
      </c>
      <c r="AH18" s="5">
        <f t="shared" si="15"/>
        <v>236245.73369999998</v>
      </c>
      <c r="AI18" s="5">
        <f t="shared" si="16"/>
        <v>263268</v>
      </c>
      <c r="AK18" s="16" t="s">
        <v>80</v>
      </c>
      <c r="AL18" s="16" t="s">
        <v>81</v>
      </c>
      <c r="AM18" s="23" t="s">
        <v>82</v>
      </c>
      <c r="AN18" s="22">
        <v>4.5599999999999996</v>
      </c>
      <c r="AO18" s="22">
        <v>5.0999999999999996</v>
      </c>
      <c r="AP18" s="22">
        <v>6</v>
      </c>
      <c r="AQ18" s="22">
        <v>16000</v>
      </c>
      <c r="AR18" s="22">
        <v>27360</v>
      </c>
      <c r="AS18" s="22">
        <v>47597</v>
      </c>
      <c r="AT18" s="22">
        <v>72000</v>
      </c>
      <c r="AU18" s="22">
        <v>141750</v>
      </c>
      <c r="AV18" s="22">
        <v>6840</v>
      </c>
      <c r="AW18" s="22">
        <v>7650</v>
      </c>
      <c r="AX18" s="22">
        <v>9000</v>
      </c>
      <c r="AY18" s="22">
        <v>5279</v>
      </c>
      <c r="AZ18" s="22">
        <v>5910</v>
      </c>
      <c r="BA18" s="22">
        <v>6683</v>
      </c>
      <c r="BB18" s="22">
        <v>181229</v>
      </c>
      <c r="BC18" s="22">
        <v>202907</v>
      </c>
      <c r="BD18" s="22">
        <v>229433</v>
      </c>
      <c r="BE18" s="22">
        <v>5.61</v>
      </c>
      <c r="BF18" s="22">
        <v>6.15</v>
      </c>
      <c r="BG18" s="22">
        <v>7.05</v>
      </c>
      <c r="BH18" s="22" t="s">
        <v>83</v>
      </c>
      <c r="BI18" s="16"/>
    </row>
    <row r="19" spans="1:61" ht="24" customHeight="1" thickBot="1" x14ac:dyDescent="0.3">
      <c r="A19" s="4" t="s">
        <v>232</v>
      </c>
      <c r="B19" s="2" t="s">
        <v>231</v>
      </c>
      <c r="C19" s="4">
        <f>I1</f>
        <v>16300</v>
      </c>
      <c r="D19" s="4">
        <v>0.186</v>
      </c>
      <c r="E19" s="4">
        <v>0.191</v>
      </c>
      <c r="F19" s="4">
        <v>0.19800000000000001</v>
      </c>
      <c r="G19" s="4">
        <v>3.7999999999999999E-2</v>
      </c>
      <c r="H19" s="4">
        <v>4.2999999999999997E-2</v>
      </c>
      <c r="I19" s="4">
        <v>0.05</v>
      </c>
      <c r="J19" s="5">
        <f t="shared" si="0"/>
        <v>232.27500000000001</v>
      </c>
      <c r="K19" s="5">
        <f t="shared" si="1"/>
        <v>408.62469999999996</v>
      </c>
      <c r="L19" s="3">
        <f t="shared" si="2"/>
        <v>611.25</v>
      </c>
      <c r="M19" s="3">
        <v>1</v>
      </c>
      <c r="N19" s="3">
        <v>0</v>
      </c>
      <c r="O19" s="5">
        <f t="shared" si="3"/>
        <v>1</v>
      </c>
      <c r="P19" s="3" t="s">
        <v>224</v>
      </c>
      <c r="Q19" s="3" t="s">
        <v>210</v>
      </c>
      <c r="R19" s="3" t="s">
        <v>207</v>
      </c>
      <c r="S19" s="34">
        <v>0.74</v>
      </c>
      <c r="T19" s="34">
        <v>0</v>
      </c>
      <c r="U19" s="34">
        <f t="shared" si="4"/>
        <v>0.74</v>
      </c>
      <c r="V19" s="3">
        <v>36000</v>
      </c>
      <c r="W19" s="2">
        <v>0</v>
      </c>
      <c r="X19" s="4">
        <f t="shared" si="5"/>
        <v>26640</v>
      </c>
      <c r="Y19" s="4">
        <f t="shared" si="6"/>
        <v>0</v>
      </c>
      <c r="Z19" s="4">
        <f t="shared" si="7"/>
        <v>26640</v>
      </c>
      <c r="AA19" s="5">
        <f t="shared" si="8"/>
        <v>57</v>
      </c>
      <c r="AB19" s="5">
        <f t="shared" si="9"/>
        <v>64.5</v>
      </c>
      <c r="AC19" s="4">
        <f t="shared" si="10"/>
        <v>75</v>
      </c>
      <c r="AD19" s="5">
        <f t="shared" si="11"/>
        <v>807.87824999999998</v>
      </c>
      <c r="AE19" s="5">
        <f t="shared" si="12"/>
        <v>813.39374099999998</v>
      </c>
      <c r="AF19" s="5">
        <f t="shared" si="13"/>
        <v>819.78750000000002</v>
      </c>
      <c r="AG19" s="5">
        <f t="shared" si="14"/>
        <v>27737.153250000003</v>
      </c>
      <c r="AH19" s="5">
        <f t="shared" si="15"/>
        <v>27926.518441</v>
      </c>
      <c r="AI19" s="5">
        <f t="shared" si="16"/>
        <v>28146.037499999999</v>
      </c>
      <c r="AK19" s="16" t="s">
        <v>84</v>
      </c>
      <c r="AL19" s="16" t="s">
        <v>85</v>
      </c>
      <c r="AM19" s="23" t="s">
        <v>86</v>
      </c>
      <c r="AN19" s="22">
        <v>3.7999999999999999E-2</v>
      </c>
      <c r="AO19" s="22">
        <v>4.2999999999999997E-2</v>
      </c>
      <c r="AP19" s="22">
        <v>0.05</v>
      </c>
      <c r="AQ19" s="22">
        <v>16000</v>
      </c>
      <c r="AR19" s="22">
        <v>228</v>
      </c>
      <c r="AS19" s="22">
        <v>401</v>
      </c>
      <c r="AT19" s="22">
        <v>600</v>
      </c>
      <c r="AU19" s="22">
        <v>39960</v>
      </c>
      <c r="AV19" s="22">
        <v>57</v>
      </c>
      <c r="AW19" s="22">
        <v>64.5</v>
      </c>
      <c r="AX19" s="22">
        <v>75</v>
      </c>
      <c r="AY19" s="22">
        <v>1207</v>
      </c>
      <c r="AZ19" s="22">
        <v>1213</v>
      </c>
      <c r="BA19" s="22">
        <v>1219</v>
      </c>
      <c r="BB19" s="22">
        <v>41452</v>
      </c>
      <c r="BC19" s="22">
        <v>41639</v>
      </c>
      <c r="BD19" s="22">
        <v>41854</v>
      </c>
      <c r="BE19" s="22">
        <v>0.186</v>
      </c>
      <c r="BF19" s="22">
        <v>0.191</v>
      </c>
      <c r="BG19" s="22">
        <v>0.19800000000000001</v>
      </c>
      <c r="BH19" s="22" t="s">
        <v>87</v>
      </c>
      <c r="BI19" s="16"/>
    </row>
    <row r="20" spans="1:61" ht="24" customHeight="1" thickBot="1" x14ac:dyDescent="0.3">
      <c r="A20" s="4" t="s">
        <v>232</v>
      </c>
      <c r="B20" s="2" t="s">
        <v>233</v>
      </c>
      <c r="C20" s="4">
        <f>I1</f>
        <v>16300</v>
      </c>
      <c r="D20" s="4">
        <v>1.298</v>
      </c>
      <c r="E20" s="4">
        <v>1.4379999999999999</v>
      </c>
      <c r="F20" s="4">
        <v>1.67</v>
      </c>
      <c r="G20" s="4">
        <v>1.1779999999999999</v>
      </c>
      <c r="H20" s="4">
        <v>1.3180000000000001</v>
      </c>
      <c r="I20" s="4">
        <v>1.55</v>
      </c>
      <c r="J20" s="5">
        <f t="shared" si="0"/>
        <v>7200.5249999999996</v>
      </c>
      <c r="K20" s="5">
        <f t="shared" si="1"/>
        <v>12524.822200000001</v>
      </c>
      <c r="L20" s="3">
        <f t="shared" si="2"/>
        <v>18948.75</v>
      </c>
      <c r="M20" s="3">
        <v>1</v>
      </c>
      <c r="N20" s="3">
        <v>98</v>
      </c>
      <c r="O20" s="5">
        <f t="shared" si="3"/>
        <v>99</v>
      </c>
      <c r="P20" s="3" t="s">
        <v>211</v>
      </c>
      <c r="Q20" s="3" t="s">
        <v>211</v>
      </c>
      <c r="R20" s="3" t="s">
        <v>207</v>
      </c>
      <c r="S20" s="34">
        <v>0.11</v>
      </c>
      <c r="T20" s="34">
        <v>0.49</v>
      </c>
      <c r="U20" s="34">
        <f t="shared" si="4"/>
        <v>0.6</v>
      </c>
      <c r="V20" s="3">
        <v>30000</v>
      </c>
      <c r="W20" s="2">
        <v>30000</v>
      </c>
      <c r="X20" s="4">
        <f t="shared" si="5"/>
        <v>3300</v>
      </c>
      <c r="Y20" s="4">
        <f t="shared" si="6"/>
        <v>14700</v>
      </c>
      <c r="Z20" s="4">
        <f t="shared" si="7"/>
        <v>18000</v>
      </c>
      <c r="AA20" s="5">
        <f t="shared" si="8"/>
        <v>1767</v>
      </c>
      <c r="AB20" s="5">
        <f t="shared" si="9"/>
        <v>1977</v>
      </c>
      <c r="AC20" s="4">
        <f t="shared" si="10"/>
        <v>2325</v>
      </c>
      <c r="AD20" s="5">
        <f t="shared" si="11"/>
        <v>809.02575000000002</v>
      </c>
      <c r="AE20" s="5">
        <f t="shared" si="12"/>
        <v>975.054666</v>
      </c>
      <c r="AF20" s="5">
        <f t="shared" si="13"/>
        <v>1178.2124999999999</v>
      </c>
      <c r="AG20" s="5">
        <f t="shared" si="14"/>
        <v>27776.550750000002</v>
      </c>
      <c r="AH20" s="5">
        <f t="shared" si="15"/>
        <v>33476.876866000006</v>
      </c>
      <c r="AI20" s="5">
        <f t="shared" si="16"/>
        <v>40451.962500000001</v>
      </c>
      <c r="AK20" s="16" t="s">
        <v>88</v>
      </c>
      <c r="AL20" s="16" t="s">
        <v>89</v>
      </c>
      <c r="AM20" s="23" t="s">
        <v>90</v>
      </c>
      <c r="AN20" s="22">
        <v>1.1779999999999999</v>
      </c>
      <c r="AO20" s="22">
        <v>1.3180000000000001</v>
      </c>
      <c r="AP20" s="22">
        <v>1.55</v>
      </c>
      <c r="AQ20" s="22">
        <v>16000</v>
      </c>
      <c r="AR20" s="22">
        <v>7068</v>
      </c>
      <c r="AS20" s="22">
        <v>12301</v>
      </c>
      <c r="AT20" s="22">
        <v>18600</v>
      </c>
      <c r="AU20" s="22">
        <v>32370</v>
      </c>
      <c r="AV20" s="22">
        <v>1767</v>
      </c>
      <c r="AW20" s="22">
        <v>1977</v>
      </c>
      <c r="AX20" s="22">
        <v>2325</v>
      </c>
      <c r="AY20" s="22">
        <v>1236</v>
      </c>
      <c r="AZ20" s="22">
        <v>1399</v>
      </c>
      <c r="BA20" s="22">
        <v>1599</v>
      </c>
      <c r="BB20" s="22">
        <v>42441</v>
      </c>
      <c r="BC20" s="22">
        <v>48047</v>
      </c>
      <c r="BD20" s="22">
        <v>54894</v>
      </c>
      <c r="BE20" s="22">
        <v>1.298</v>
      </c>
      <c r="BF20" s="22">
        <v>1.4379999999999999</v>
      </c>
      <c r="BG20" s="22">
        <v>1.67</v>
      </c>
      <c r="BH20" s="22" t="s">
        <v>91</v>
      </c>
      <c r="BI20" s="16"/>
    </row>
    <row r="21" spans="1:61" ht="24" customHeight="1" thickBot="1" x14ac:dyDescent="0.3">
      <c r="A21" s="4" t="s">
        <v>232</v>
      </c>
      <c r="B21" s="2" t="s">
        <v>234</v>
      </c>
      <c r="C21" s="4">
        <f>I1</f>
        <v>16300</v>
      </c>
      <c r="D21" s="4">
        <v>0.64800000000000002</v>
      </c>
      <c r="E21" s="4">
        <v>0.72</v>
      </c>
      <c r="F21" s="4">
        <v>0.84</v>
      </c>
      <c r="G21" s="4">
        <v>0.60799999999999998</v>
      </c>
      <c r="H21" s="4">
        <v>0.68</v>
      </c>
      <c r="I21" s="4">
        <v>0.8</v>
      </c>
      <c r="J21" s="5">
        <f t="shared" si="0"/>
        <v>3716.4</v>
      </c>
      <c r="K21" s="5">
        <f t="shared" si="1"/>
        <v>6461.9720000000007</v>
      </c>
      <c r="L21" s="3">
        <f t="shared" si="2"/>
        <v>9780</v>
      </c>
      <c r="M21" s="3">
        <v>1</v>
      </c>
      <c r="N21" s="3">
        <v>13</v>
      </c>
      <c r="O21" s="5">
        <f t="shared" si="3"/>
        <v>14</v>
      </c>
      <c r="P21" s="3" t="s">
        <v>211</v>
      </c>
      <c r="Q21" s="3" t="s">
        <v>211</v>
      </c>
      <c r="R21" s="3" t="s">
        <v>207</v>
      </c>
      <c r="S21" s="34">
        <v>6.5000000000000002E-2</v>
      </c>
      <c r="T21" s="34">
        <v>0.13500000000000001</v>
      </c>
      <c r="U21" s="34">
        <f t="shared" si="4"/>
        <v>0.2</v>
      </c>
      <c r="V21" s="3">
        <v>27000</v>
      </c>
      <c r="W21" s="2">
        <v>27000</v>
      </c>
      <c r="X21" s="4">
        <f t="shared" si="5"/>
        <v>1755</v>
      </c>
      <c r="Y21" s="4">
        <f t="shared" si="6"/>
        <v>3645.0000000000005</v>
      </c>
      <c r="Z21" s="4">
        <f t="shared" si="7"/>
        <v>5400</v>
      </c>
      <c r="AA21" s="5">
        <f t="shared" si="8"/>
        <v>912</v>
      </c>
      <c r="AB21" s="5">
        <f t="shared" si="9"/>
        <v>1020.0000000000001</v>
      </c>
      <c r="AC21" s="4">
        <f t="shared" si="10"/>
        <v>1200</v>
      </c>
      <c r="AD21" s="5">
        <f t="shared" si="11"/>
        <v>300.85199999999998</v>
      </c>
      <c r="AE21" s="5">
        <f t="shared" si="12"/>
        <v>386.45916000000005</v>
      </c>
      <c r="AF21" s="5">
        <f t="shared" si="13"/>
        <v>491.4</v>
      </c>
      <c r="AG21" s="5">
        <f t="shared" si="14"/>
        <v>10329.252</v>
      </c>
      <c r="AH21" s="5">
        <f t="shared" si="15"/>
        <v>13268.431160000002</v>
      </c>
      <c r="AI21" s="5">
        <f t="shared" si="16"/>
        <v>16871.400000000001</v>
      </c>
      <c r="AK21" s="16" t="s">
        <v>92</v>
      </c>
      <c r="AL21" s="16" t="s">
        <v>93</v>
      </c>
      <c r="AM21" s="23" t="s">
        <v>94</v>
      </c>
      <c r="AN21" s="22">
        <v>0.60799999999999998</v>
      </c>
      <c r="AO21" s="22">
        <v>0.68</v>
      </c>
      <c r="AP21" s="22">
        <v>0.8</v>
      </c>
      <c r="AQ21" s="22">
        <v>16000</v>
      </c>
      <c r="AR21" s="22">
        <v>3648</v>
      </c>
      <c r="AS21" s="22">
        <v>6346</v>
      </c>
      <c r="AT21" s="22">
        <v>9600</v>
      </c>
      <c r="AU21" s="22">
        <v>8610</v>
      </c>
      <c r="AV21" s="22">
        <v>912</v>
      </c>
      <c r="AW21" s="22">
        <v>1020</v>
      </c>
      <c r="AX21" s="22">
        <v>1200</v>
      </c>
      <c r="AY21" s="22">
        <v>395</v>
      </c>
      <c r="AZ21" s="22">
        <v>479</v>
      </c>
      <c r="BA21" s="22">
        <v>582</v>
      </c>
      <c r="BB21" s="22">
        <v>13565</v>
      </c>
      <c r="BC21" s="22">
        <v>16456</v>
      </c>
      <c r="BD21" s="22">
        <v>19992</v>
      </c>
      <c r="BE21" s="22">
        <v>0.64800000000000002</v>
      </c>
      <c r="BF21" s="22">
        <v>0.72</v>
      </c>
      <c r="BG21" s="22">
        <v>0.84</v>
      </c>
      <c r="BH21" s="22" t="s">
        <v>95</v>
      </c>
      <c r="BI21" s="16"/>
    </row>
    <row r="22" spans="1:61" ht="24" customHeight="1" thickBot="1" x14ac:dyDescent="0.3">
      <c r="A22" s="4" t="s">
        <v>232</v>
      </c>
      <c r="B22" s="2" t="s">
        <v>235</v>
      </c>
      <c r="C22" s="4">
        <f>I1</f>
        <v>16300</v>
      </c>
      <c r="D22" s="4">
        <v>0.36599999999999999</v>
      </c>
      <c r="E22" s="4">
        <v>0.40200000000000002</v>
      </c>
      <c r="F22" s="4">
        <v>0.46200000000000002</v>
      </c>
      <c r="G22" s="4">
        <v>0.30399999999999999</v>
      </c>
      <c r="H22" s="4">
        <v>0.34</v>
      </c>
      <c r="I22" s="4">
        <v>0.4</v>
      </c>
      <c r="J22" s="5">
        <f t="shared" si="0"/>
        <v>1858.2</v>
      </c>
      <c r="K22" s="5">
        <f t="shared" si="1"/>
        <v>3230.9860000000003</v>
      </c>
      <c r="L22" s="3">
        <f t="shared" si="2"/>
        <v>4890</v>
      </c>
      <c r="M22" s="3">
        <v>1</v>
      </c>
      <c r="N22" s="3">
        <v>0</v>
      </c>
      <c r="O22" s="5">
        <f t="shared" si="3"/>
        <v>1</v>
      </c>
      <c r="P22" s="3" t="s">
        <v>236</v>
      </c>
      <c r="Q22" s="3" t="s">
        <v>210</v>
      </c>
      <c r="R22" s="3" t="s">
        <v>207</v>
      </c>
      <c r="S22" s="34">
        <v>0.31</v>
      </c>
      <c r="T22" s="34">
        <v>0</v>
      </c>
      <c r="U22" s="34">
        <f t="shared" si="4"/>
        <v>0.31</v>
      </c>
      <c r="V22" s="3">
        <v>33000</v>
      </c>
      <c r="W22" s="2">
        <v>0</v>
      </c>
      <c r="X22" s="4">
        <f t="shared" si="5"/>
        <v>10230</v>
      </c>
      <c r="Y22" s="4">
        <f t="shared" si="6"/>
        <v>0</v>
      </c>
      <c r="Z22" s="4">
        <f t="shared" si="7"/>
        <v>10230</v>
      </c>
      <c r="AA22" s="5">
        <f t="shared" si="8"/>
        <v>456</v>
      </c>
      <c r="AB22" s="5">
        <f t="shared" si="9"/>
        <v>510.00000000000006</v>
      </c>
      <c r="AC22" s="4">
        <f t="shared" si="10"/>
        <v>600</v>
      </c>
      <c r="AD22" s="5">
        <f t="shared" si="11"/>
        <v>376.32600000000002</v>
      </c>
      <c r="AE22" s="5">
        <f t="shared" si="12"/>
        <v>419.12958000000003</v>
      </c>
      <c r="AF22" s="5">
        <f t="shared" si="13"/>
        <v>471.59999999999997</v>
      </c>
      <c r="AG22" s="5">
        <f t="shared" si="14"/>
        <v>12920.526000000002</v>
      </c>
      <c r="AH22" s="5">
        <f t="shared" si="15"/>
        <v>14390.115580000002</v>
      </c>
      <c r="AI22" s="5">
        <f t="shared" si="16"/>
        <v>16191.6</v>
      </c>
      <c r="AK22" s="16" t="s">
        <v>96</v>
      </c>
      <c r="AL22" s="16" t="s">
        <v>97</v>
      </c>
      <c r="AM22" s="23" t="s">
        <v>98</v>
      </c>
      <c r="AN22" s="22">
        <v>0.30399999999999999</v>
      </c>
      <c r="AO22" s="22">
        <v>0.34</v>
      </c>
      <c r="AP22" s="22">
        <v>0.4</v>
      </c>
      <c r="AQ22" s="22">
        <v>16000</v>
      </c>
      <c r="AR22" s="22">
        <v>1824</v>
      </c>
      <c r="AS22" s="22">
        <v>3173</v>
      </c>
      <c r="AT22" s="22">
        <v>4800</v>
      </c>
      <c r="AU22" s="22">
        <v>13020</v>
      </c>
      <c r="AV22" s="22">
        <v>456</v>
      </c>
      <c r="AW22" s="22">
        <v>510</v>
      </c>
      <c r="AX22" s="22">
        <v>600</v>
      </c>
      <c r="AY22" s="22">
        <v>459</v>
      </c>
      <c r="AZ22" s="22">
        <v>501</v>
      </c>
      <c r="BA22" s="22">
        <v>553</v>
      </c>
      <c r="BB22" s="22">
        <v>15759</v>
      </c>
      <c r="BC22" s="22">
        <v>17204</v>
      </c>
      <c r="BD22" s="22">
        <v>18973</v>
      </c>
      <c r="BE22" s="22">
        <v>0.36599999999999999</v>
      </c>
      <c r="BF22" s="22">
        <v>0.40200000000000002</v>
      </c>
      <c r="BG22" s="22">
        <v>0.46200000000000002</v>
      </c>
      <c r="BH22" s="22" t="s">
        <v>99</v>
      </c>
      <c r="BI22" s="16"/>
    </row>
    <row r="23" spans="1:61" ht="24" customHeight="1" thickBot="1" x14ac:dyDescent="0.3">
      <c r="A23" s="4" t="s">
        <v>232</v>
      </c>
      <c r="B23" s="2" t="s">
        <v>237</v>
      </c>
      <c r="C23" s="4">
        <f>I1</f>
        <v>16300</v>
      </c>
      <c r="D23" s="4">
        <v>1.036</v>
      </c>
      <c r="E23" s="4">
        <v>1.135</v>
      </c>
      <c r="F23" s="4">
        <v>1.3</v>
      </c>
      <c r="G23" s="4">
        <v>0.83599999999999997</v>
      </c>
      <c r="H23" s="4">
        <v>0.93500000000000005</v>
      </c>
      <c r="I23" s="4">
        <v>1.1000000000000001</v>
      </c>
      <c r="J23" s="5">
        <f t="shared" si="0"/>
        <v>5110.05</v>
      </c>
      <c r="K23" s="5">
        <f t="shared" si="1"/>
        <v>8885.2114999999994</v>
      </c>
      <c r="L23" s="3">
        <f t="shared" si="2"/>
        <v>13447.500000000002</v>
      </c>
      <c r="M23" s="3">
        <v>1</v>
      </c>
      <c r="N23" s="3">
        <v>0</v>
      </c>
      <c r="O23" s="5">
        <f t="shared" si="3"/>
        <v>1</v>
      </c>
      <c r="P23" s="3" t="s">
        <v>211</v>
      </c>
      <c r="Q23" s="3" t="s">
        <v>210</v>
      </c>
      <c r="R23" s="3" t="s">
        <v>207</v>
      </c>
      <c r="S23" s="34">
        <v>1</v>
      </c>
      <c r="T23" s="34">
        <v>0</v>
      </c>
      <c r="U23" s="34">
        <f t="shared" si="4"/>
        <v>1</v>
      </c>
      <c r="V23" s="3">
        <v>40000</v>
      </c>
      <c r="W23" s="2">
        <v>0</v>
      </c>
      <c r="X23" s="4">
        <f t="shared" si="5"/>
        <v>40000</v>
      </c>
      <c r="Y23" s="4">
        <f t="shared" si="6"/>
        <v>0</v>
      </c>
      <c r="Z23" s="4">
        <f t="shared" si="7"/>
        <v>40000</v>
      </c>
      <c r="AA23" s="5">
        <f t="shared" si="8"/>
        <v>1254</v>
      </c>
      <c r="AB23" s="5">
        <f t="shared" si="9"/>
        <v>1402.5</v>
      </c>
      <c r="AC23" s="4">
        <f t="shared" si="10"/>
        <v>1650.0000000000002</v>
      </c>
      <c r="AD23" s="5">
        <f t="shared" si="11"/>
        <v>1390.9214999999999</v>
      </c>
      <c r="AE23" s="5">
        <f t="shared" si="12"/>
        <v>1508.6313449999998</v>
      </c>
      <c r="AF23" s="5">
        <f t="shared" si="13"/>
        <v>1652.925</v>
      </c>
      <c r="AG23" s="5">
        <f t="shared" si="14"/>
        <v>47754.9715</v>
      </c>
      <c r="AH23" s="5">
        <f t="shared" si="15"/>
        <v>51796.342844999999</v>
      </c>
      <c r="AI23" s="5">
        <f t="shared" si="16"/>
        <v>56750.425000000003</v>
      </c>
      <c r="AK23" s="16" t="s">
        <v>100</v>
      </c>
      <c r="AL23" s="16" t="s">
        <v>101</v>
      </c>
      <c r="AM23" s="23" t="s">
        <v>102</v>
      </c>
      <c r="AN23" s="22">
        <v>0.83599999999999997</v>
      </c>
      <c r="AO23" s="22">
        <v>0.93500000000000005</v>
      </c>
      <c r="AP23" s="22">
        <v>1.1000000000000001</v>
      </c>
      <c r="AQ23" s="22">
        <v>16000</v>
      </c>
      <c r="AR23" s="22">
        <v>5016</v>
      </c>
      <c r="AS23" s="22">
        <v>8726</v>
      </c>
      <c r="AT23" s="22">
        <v>13200</v>
      </c>
      <c r="AU23" s="22">
        <v>43200</v>
      </c>
      <c r="AV23" s="22">
        <v>1254</v>
      </c>
      <c r="AW23" s="22">
        <v>1402.5</v>
      </c>
      <c r="AX23" s="22">
        <v>1650</v>
      </c>
      <c r="AY23" s="22">
        <v>1484</v>
      </c>
      <c r="AZ23" s="22">
        <v>1600</v>
      </c>
      <c r="BA23" s="22">
        <v>1742</v>
      </c>
      <c r="BB23" s="22">
        <v>50954</v>
      </c>
      <c r="BC23" s="22">
        <v>54929</v>
      </c>
      <c r="BD23" s="22">
        <v>59792</v>
      </c>
      <c r="BE23" s="22">
        <v>1.036</v>
      </c>
      <c r="BF23" s="22">
        <v>1.135</v>
      </c>
      <c r="BG23" s="22">
        <v>1.3</v>
      </c>
      <c r="BH23" s="22" t="s">
        <v>103</v>
      </c>
      <c r="BI23" s="16"/>
    </row>
    <row r="24" spans="1:61" ht="24" customHeight="1" thickBot="1" x14ac:dyDescent="0.3">
      <c r="A24" s="4" t="s">
        <v>117</v>
      </c>
      <c r="B24" s="4" t="s">
        <v>118</v>
      </c>
      <c r="C24" s="4">
        <f>I1</f>
        <v>16300</v>
      </c>
      <c r="D24" s="4">
        <v>20.774000000000001</v>
      </c>
      <c r="E24" s="4">
        <v>22.603999999999999</v>
      </c>
      <c r="F24" s="4">
        <v>25.654</v>
      </c>
      <c r="G24" s="4">
        <v>15.47</v>
      </c>
      <c r="H24" s="4">
        <v>17.3</v>
      </c>
      <c r="I24" s="4">
        <v>20.350000000000001</v>
      </c>
      <c r="J24" s="5">
        <f t="shared" si="0"/>
        <v>94560.375</v>
      </c>
      <c r="K24" s="5">
        <f t="shared" si="1"/>
        <v>164400.17000000001</v>
      </c>
      <c r="L24" s="3">
        <f t="shared" si="2"/>
        <v>248778.75000000003</v>
      </c>
      <c r="M24" s="5">
        <v>0</v>
      </c>
      <c r="N24" s="5">
        <v>34</v>
      </c>
      <c r="O24" s="5">
        <f>M24+N24</f>
        <v>34</v>
      </c>
      <c r="P24" s="5" t="s">
        <v>206</v>
      </c>
      <c r="Q24" s="5" t="s">
        <v>210</v>
      </c>
      <c r="R24" s="5" t="s">
        <v>207</v>
      </c>
      <c r="S24" s="34">
        <v>0</v>
      </c>
      <c r="T24" s="34">
        <v>26.52</v>
      </c>
      <c r="U24" s="34">
        <f t="shared" si="4"/>
        <v>26.52</v>
      </c>
      <c r="V24" s="5">
        <v>0</v>
      </c>
      <c r="W24" s="4">
        <v>36000</v>
      </c>
      <c r="X24" s="4">
        <f t="shared" si="5"/>
        <v>0</v>
      </c>
      <c r="Y24" s="4">
        <f t="shared" si="6"/>
        <v>954720</v>
      </c>
      <c r="Z24" s="4">
        <f t="shared" si="7"/>
        <v>954720</v>
      </c>
      <c r="AA24" s="5">
        <f t="shared" si="8"/>
        <v>23205</v>
      </c>
      <c r="AB24" s="5">
        <f t="shared" si="9"/>
        <v>25950</v>
      </c>
      <c r="AC24" s="4">
        <f t="shared" si="10"/>
        <v>30525.000000000004</v>
      </c>
      <c r="AD24" s="5">
        <f t="shared" si="11"/>
        <v>32174.561249999999</v>
      </c>
      <c r="AE24" s="5">
        <f t="shared" si="12"/>
        <v>34352.105099999993</v>
      </c>
      <c r="AF24" s="5">
        <f t="shared" si="13"/>
        <v>37020.712500000001</v>
      </c>
      <c r="AG24" s="5">
        <f t="shared" si="14"/>
        <v>1104659.93625</v>
      </c>
      <c r="AH24" s="5">
        <f t="shared" si="15"/>
        <v>1179422.2751</v>
      </c>
      <c r="AI24" s="5">
        <f t="shared" si="16"/>
        <v>1271044.4624999999</v>
      </c>
      <c r="AK24" s="16" t="s">
        <v>104</v>
      </c>
      <c r="AL24" s="16" t="s">
        <v>105</v>
      </c>
      <c r="AM24" s="23" t="s">
        <v>106</v>
      </c>
      <c r="AN24" s="22">
        <v>15.47</v>
      </c>
      <c r="AO24" s="22">
        <v>17.3</v>
      </c>
      <c r="AP24" s="22">
        <v>20.350000000000001</v>
      </c>
      <c r="AQ24" s="22">
        <v>16000</v>
      </c>
      <c r="AR24" s="22">
        <v>92820</v>
      </c>
      <c r="AS24" s="22">
        <v>161457</v>
      </c>
      <c r="AT24" s="22">
        <v>244200</v>
      </c>
      <c r="AU24" s="22">
        <v>556920</v>
      </c>
      <c r="AV24" s="22">
        <v>23205</v>
      </c>
      <c r="AW24" s="22">
        <v>25950</v>
      </c>
      <c r="AX24" s="22">
        <v>30525</v>
      </c>
      <c r="AY24" s="22">
        <v>20188</v>
      </c>
      <c r="AZ24" s="22">
        <v>22330</v>
      </c>
      <c r="BA24" s="22">
        <v>24949</v>
      </c>
      <c r="BB24" s="22">
        <v>693133</v>
      </c>
      <c r="BC24" s="22">
        <v>766657</v>
      </c>
      <c r="BD24" s="22">
        <v>856594</v>
      </c>
      <c r="BE24" s="22">
        <v>20.774000000000001</v>
      </c>
      <c r="BF24" s="22">
        <v>22.603999999999999</v>
      </c>
      <c r="BG24" s="22">
        <v>25.654</v>
      </c>
      <c r="BH24" s="22" t="s">
        <v>107</v>
      </c>
      <c r="BI24" s="16"/>
    </row>
    <row r="25" spans="1:61" ht="24" customHeight="1" thickBot="1" x14ac:dyDescent="0.25">
      <c r="A25" s="4" t="s">
        <v>241</v>
      </c>
      <c r="B25" s="2" t="s">
        <v>121</v>
      </c>
      <c r="C25" s="4">
        <f>I1</f>
        <v>16300</v>
      </c>
      <c r="D25" s="2">
        <v>19.905999999999999</v>
      </c>
      <c r="E25" s="2">
        <v>22.155999999999999</v>
      </c>
      <c r="F25" s="2">
        <v>25.905999999999999</v>
      </c>
      <c r="G25" s="4">
        <v>19</v>
      </c>
      <c r="H25" s="4">
        <v>21.25</v>
      </c>
      <c r="I25" s="4">
        <v>25</v>
      </c>
      <c r="J25" s="5">
        <f t="shared" si="0"/>
        <v>116137.5</v>
      </c>
      <c r="K25" s="5">
        <f t="shared" si="1"/>
        <v>201936.625</v>
      </c>
      <c r="L25" s="3">
        <f t="shared" si="2"/>
        <v>305625</v>
      </c>
      <c r="M25" s="3">
        <v>1</v>
      </c>
      <c r="N25" s="3">
        <v>184</v>
      </c>
      <c r="O25" s="5">
        <f t="shared" si="3"/>
        <v>185</v>
      </c>
      <c r="P25" s="3" t="s">
        <v>206</v>
      </c>
      <c r="Q25" s="3" t="s">
        <v>211</v>
      </c>
      <c r="R25" s="3" t="s">
        <v>207</v>
      </c>
      <c r="S25" s="34">
        <v>0.25</v>
      </c>
      <c r="T25" s="34">
        <v>4.28</v>
      </c>
      <c r="U25" s="34">
        <f t="shared" si="4"/>
        <v>4.53</v>
      </c>
      <c r="V25" s="3">
        <v>30000</v>
      </c>
      <c r="W25" s="2">
        <v>27000</v>
      </c>
      <c r="X25" s="4">
        <f t="shared" si="5"/>
        <v>7500</v>
      </c>
      <c r="Y25" s="4">
        <f t="shared" si="6"/>
        <v>115560</v>
      </c>
      <c r="Z25" s="4">
        <f t="shared" si="7"/>
        <v>123060</v>
      </c>
      <c r="AA25" s="5">
        <f t="shared" si="8"/>
        <v>28500</v>
      </c>
      <c r="AB25" s="5">
        <f t="shared" si="9"/>
        <v>31875</v>
      </c>
      <c r="AC25" s="4">
        <f t="shared" si="10"/>
        <v>37500</v>
      </c>
      <c r="AD25" s="5">
        <f t="shared" si="11"/>
        <v>8030.9249999999993</v>
      </c>
      <c r="AE25" s="5">
        <f t="shared" si="12"/>
        <v>10706.14875</v>
      </c>
      <c r="AF25" s="5">
        <f t="shared" si="13"/>
        <v>13985.55</v>
      </c>
      <c r="AG25" s="5">
        <f t="shared" si="14"/>
        <v>275728.42499999999</v>
      </c>
      <c r="AH25" s="5">
        <f t="shared" si="15"/>
        <v>367577.77374999999</v>
      </c>
      <c r="AI25" s="5">
        <f t="shared" si="16"/>
        <v>480170.55</v>
      </c>
      <c r="AK25" s="22" t="s">
        <v>119</v>
      </c>
      <c r="AL25" s="32" t="s">
        <v>120</v>
      </c>
      <c r="AM25" s="22" t="s">
        <v>121</v>
      </c>
      <c r="AN25" s="22">
        <v>19</v>
      </c>
      <c r="AO25" s="22">
        <v>21.25</v>
      </c>
      <c r="AP25" s="22">
        <v>25</v>
      </c>
      <c r="AQ25" s="22">
        <v>16000</v>
      </c>
      <c r="AR25" s="22">
        <v>114000</v>
      </c>
      <c r="AS25" s="22">
        <v>198322</v>
      </c>
      <c r="AT25" s="22">
        <v>300000</v>
      </c>
      <c r="AU25" s="22">
        <v>46900</v>
      </c>
      <c r="AV25" s="22">
        <v>28500</v>
      </c>
      <c r="AW25" s="22">
        <v>31875</v>
      </c>
      <c r="AX25" s="22">
        <v>37500</v>
      </c>
      <c r="AY25" s="22">
        <v>5682</v>
      </c>
      <c r="AZ25" s="22">
        <v>8313</v>
      </c>
      <c r="BA25" s="22">
        <v>11532</v>
      </c>
      <c r="BB25" s="22">
        <v>195082</v>
      </c>
      <c r="BC25" s="22">
        <v>285410</v>
      </c>
      <c r="BD25" s="22">
        <v>395932</v>
      </c>
      <c r="BE25" s="22">
        <v>19.905999999999999</v>
      </c>
      <c r="BF25" s="22">
        <v>22.155999999999999</v>
      </c>
      <c r="BG25" s="22">
        <v>25.905999999999999</v>
      </c>
      <c r="BH25" s="22" t="s">
        <v>122</v>
      </c>
    </row>
    <row r="26" spans="1:61" ht="24" customHeight="1" thickBot="1" x14ac:dyDescent="0.25">
      <c r="A26" s="4" t="s">
        <v>241</v>
      </c>
      <c r="B26" s="2" t="s">
        <v>125</v>
      </c>
      <c r="C26" s="4">
        <f>I1</f>
        <v>16300</v>
      </c>
      <c r="D26" s="2">
        <v>15.346</v>
      </c>
      <c r="E26" s="2">
        <v>16.831</v>
      </c>
      <c r="F26" s="2">
        <v>19.306000000000001</v>
      </c>
      <c r="G26" s="4">
        <v>12.54</v>
      </c>
      <c r="H26" s="4">
        <v>14.025</v>
      </c>
      <c r="I26" s="4">
        <v>16.5</v>
      </c>
      <c r="J26" s="5">
        <f t="shared" si="0"/>
        <v>76650.75</v>
      </c>
      <c r="K26" s="5">
        <f t="shared" si="1"/>
        <v>133278.17249999999</v>
      </c>
      <c r="L26" s="3">
        <f t="shared" si="2"/>
        <v>201712.5</v>
      </c>
      <c r="M26" s="3">
        <v>0</v>
      </c>
      <c r="N26" s="3">
        <v>81</v>
      </c>
      <c r="O26" s="5">
        <f t="shared" si="3"/>
        <v>81</v>
      </c>
      <c r="P26" s="3" t="s">
        <v>230</v>
      </c>
      <c r="Q26" s="3" t="s">
        <v>211</v>
      </c>
      <c r="R26" s="3" t="s">
        <v>207</v>
      </c>
      <c r="S26" s="34">
        <v>12.75</v>
      </c>
      <c r="T26" s="34">
        <v>1.28</v>
      </c>
      <c r="U26" s="34">
        <f t="shared" si="4"/>
        <v>14.03</v>
      </c>
      <c r="V26" s="3">
        <v>36000</v>
      </c>
      <c r="W26" s="2">
        <v>27000</v>
      </c>
      <c r="X26" s="4">
        <f t="shared" si="5"/>
        <v>459000</v>
      </c>
      <c r="Y26" s="4">
        <f t="shared" si="6"/>
        <v>34560</v>
      </c>
      <c r="Z26" s="4">
        <f t="shared" si="7"/>
        <v>493560</v>
      </c>
      <c r="AA26" s="5">
        <f t="shared" si="8"/>
        <v>18810</v>
      </c>
      <c r="AB26" s="5">
        <f t="shared" si="9"/>
        <v>21037.5</v>
      </c>
      <c r="AC26" s="4">
        <f t="shared" si="10"/>
        <v>24750</v>
      </c>
      <c r="AD26" s="5">
        <f t="shared" si="11"/>
        <v>17670.622499999998</v>
      </c>
      <c r="AE26" s="5">
        <f t="shared" si="12"/>
        <v>19436.270174999998</v>
      </c>
      <c r="AF26" s="5">
        <f t="shared" si="13"/>
        <v>21600.674999999999</v>
      </c>
      <c r="AG26" s="5">
        <f t="shared" si="14"/>
        <v>606691.37250000006</v>
      </c>
      <c r="AH26" s="5">
        <f t="shared" si="15"/>
        <v>667311.94267499994</v>
      </c>
      <c r="AI26" s="5">
        <f t="shared" si="16"/>
        <v>741623.17500000005</v>
      </c>
      <c r="AJ26" s="9"/>
      <c r="AK26" s="22" t="s">
        <v>123</v>
      </c>
      <c r="AL26" s="32" t="s">
        <v>124</v>
      </c>
      <c r="AM26" s="22" t="s">
        <v>125</v>
      </c>
      <c r="AN26" s="22">
        <v>12.54</v>
      </c>
      <c r="AO26" s="22">
        <v>14.025</v>
      </c>
      <c r="AP26" s="22">
        <v>16.5</v>
      </c>
      <c r="AQ26" s="22">
        <v>16000</v>
      </c>
      <c r="AR26" s="22">
        <v>75240</v>
      </c>
      <c r="AS26" s="22">
        <v>130893</v>
      </c>
      <c r="AT26" s="22">
        <v>198000</v>
      </c>
      <c r="AU26" s="22">
        <v>191300</v>
      </c>
      <c r="AV26" s="22">
        <v>18810</v>
      </c>
      <c r="AW26" s="22">
        <v>21037.5</v>
      </c>
      <c r="AX26" s="22">
        <v>24750</v>
      </c>
      <c r="AY26" s="22">
        <v>8561</v>
      </c>
      <c r="AZ26" s="22">
        <v>10297</v>
      </c>
      <c r="BA26" s="22">
        <v>12422</v>
      </c>
      <c r="BB26" s="22">
        <v>293911</v>
      </c>
      <c r="BC26" s="22">
        <v>353527</v>
      </c>
      <c r="BD26" s="22">
        <v>426472</v>
      </c>
      <c r="BE26" s="22">
        <v>15.346</v>
      </c>
      <c r="BF26" s="22">
        <v>16.831</v>
      </c>
      <c r="BG26" s="22">
        <v>19.306000000000001</v>
      </c>
      <c r="BH26" s="22">
        <v>14.03</v>
      </c>
    </row>
    <row r="27" spans="1:61" ht="24" customHeight="1" thickBot="1" x14ac:dyDescent="0.25">
      <c r="A27" s="4" t="s">
        <v>241</v>
      </c>
      <c r="B27" s="2" t="s">
        <v>128</v>
      </c>
      <c r="C27" s="4">
        <f>I1</f>
        <v>16300</v>
      </c>
      <c r="D27" s="2">
        <v>15.566000000000001</v>
      </c>
      <c r="E27" s="2">
        <v>17.329999999999998</v>
      </c>
      <c r="F27" s="2">
        <v>20.27</v>
      </c>
      <c r="G27" s="4">
        <v>14.896000000000001</v>
      </c>
      <c r="H27" s="4">
        <v>16.66</v>
      </c>
      <c r="I27" s="4">
        <v>19.600000000000001</v>
      </c>
      <c r="J27" s="5">
        <f t="shared" si="0"/>
        <v>91051.8</v>
      </c>
      <c r="K27" s="5">
        <f t="shared" si="1"/>
        <v>158318.31399999998</v>
      </c>
      <c r="L27" s="3">
        <f t="shared" si="2"/>
        <v>239610.00000000003</v>
      </c>
      <c r="M27" s="3">
        <v>0</v>
      </c>
      <c r="N27" s="3">
        <v>29</v>
      </c>
      <c r="O27" s="5">
        <f t="shared" si="3"/>
        <v>29</v>
      </c>
      <c r="P27" s="3" t="s">
        <v>228</v>
      </c>
      <c r="Q27" s="3" t="s">
        <v>210</v>
      </c>
      <c r="R27" s="3" t="s">
        <v>207</v>
      </c>
      <c r="S27" s="34">
        <v>3.35</v>
      </c>
      <c r="T27" s="34">
        <v>0</v>
      </c>
      <c r="U27" s="34">
        <f t="shared" si="4"/>
        <v>3.35</v>
      </c>
      <c r="V27" s="3">
        <v>30000</v>
      </c>
      <c r="W27" s="2">
        <v>0</v>
      </c>
      <c r="X27" s="4">
        <f t="shared" si="5"/>
        <v>100500</v>
      </c>
      <c r="Y27" s="4">
        <f t="shared" si="6"/>
        <v>0</v>
      </c>
      <c r="Z27" s="4">
        <f t="shared" si="7"/>
        <v>100500</v>
      </c>
      <c r="AA27" s="5">
        <f t="shared" si="8"/>
        <v>22344</v>
      </c>
      <c r="AB27" s="5">
        <f t="shared" si="9"/>
        <v>24990</v>
      </c>
      <c r="AC27" s="4">
        <f t="shared" si="10"/>
        <v>29400.000000000004</v>
      </c>
      <c r="AD27" s="5">
        <f t="shared" si="11"/>
        <v>6416.8739999999998</v>
      </c>
      <c r="AE27" s="5">
        <f t="shared" si="12"/>
        <v>8514.2494200000001</v>
      </c>
      <c r="AF27" s="5">
        <f t="shared" si="13"/>
        <v>11085.3</v>
      </c>
      <c r="AG27" s="5">
        <f t="shared" si="14"/>
        <v>220312.674</v>
      </c>
      <c r="AH27" s="5">
        <f t="shared" si="15"/>
        <v>292322.56342000002</v>
      </c>
      <c r="AI27" s="5">
        <f t="shared" si="16"/>
        <v>380595.3</v>
      </c>
      <c r="AK27" s="16" t="s">
        <v>126</v>
      </c>
      <c r="AL27" s="32" t="s">
        <v>127</v>
      </c>
      <c r="AM27" s="22" t="s">
        <v>128</v>
      </c>
      <c r="AN27" s="22">
        <v>14.896000000000001</v>
      </c>
      <c r="AO27" s="22">
        <v>16.66</v>
      </c>
      <c r="AP27" s="22">
        <v>19.600000000000001</v>
      </c>
      <c r="AQ27" s="22">
        <v>16000</v>
      </c>
      <c r="AR27" s="22">
        <v>89376</v>
      </c>
      <c r="AS27" s="22">
        <v>155484</v>
      </c>
      <c r="AT27" s="22">
        <v>235200</v>
      </c>
      <c r="AU27" s="22">
        <v>70350</v>
      </c>
      <c r="AV27" s="22">
        <v>22344</v>
      </c>
      <c r="AW27" s="22">
        <v>24990</v>
      </c>
      <c r="AX27" s="22">
        <v>29400</v>
      </c>
      <c r="AY27" s="22">
        <v>5462</v>
      </c>
      <c r="AZ27" s="22">
        <v>7525</v>
      </c>
      <c r="BA27" s="22">
        <v>10049</v>
      </c>
      <c r="BB27" s="22">
        <v>187532</v>
      </c>
      <c r="BC27" s="22">
        <v>258349</v>
      </c>
      <c r="BD27" s="22">
        <v>344999</v>
      </c>
      <c r="BE27" s="22">
        <v>15.566000000000001</v>
      </c>
      <c r="BF27" s="22">
        <v>17.329999999999998</v>
      </c>
      <c r="BG27" s="22">
        <v>20.27</v>
      </c>
      <c r="BH27" s="22">
        <v>3.35</v>
      </c>
    </row>
    <row r="28" spans="1:61" ht="24" customHeight="1" thickBot="1" x14ac:dyDescent="0.25">
      <c r="A28" s="4" t="s">
        <v>241</v>
      </c>
      <c r="B28" s="2" t="s">
        <v>131</v>
      </c>
      <c r="C28" s="4">
        <f>I1</f>
        <v>16300</v>
      </c>
      <c r="D28" s="2">
        <v>5.12</v>
      </c>
      <c r="E28" s="2">
        <v>5.66</v>
      </c>
      <c r="F28" s="2">
        <v>6.56</v>
      </c>
      <c r="G28" s="4">
        <v>4.5599999999999996</v>
      </c>
      <c r="H28" s="4">
        <v>5.0999999999999996</v>
      </c>
      <c r="I28" s="4">
        <v>6</v>
      </c>
      <c r="J28" s="5">
        <f t="shared" si="0"/>
        <v>27872.999999999996</v>
      </c>
      <c r="K28" s="5">
        <f t="shared" si="1"/>
        <v>48464.789999999994</v>
      </c>
      <c r="L28" s="3">
        <f t="shared" si="2"/>
        <v>73350</v>
      </c>
      <c r="M28" s="3">
        <v>0</v>
      </c>
      <c r="N28" s="3">
        <v>14</v>
      </c>
      <c r="O28" s="5">
        <f t="shared" si="3"/>
        <v>14</v>
      </c>
      <c r="P28" s="3" t="s">
        <v>228</v>
      </c>
      <c r="Q28" s="3" t="s">
        <v>239</v>
      </c>
      <c r="R28" s="3" t="s">
        <v>207</v>
      </c>
      <c r="S28" s="34">
        <v>1.4</v>
      </c>
      <c r="T28" s="34">
        <v>1.4</v>
      </c>
      <c r="U28" s="34">
        <f t="shared" si="4"/>
        <v>2.8</v>
      </c>
      <c r="V28" s="3">
        <v>30000</v>
      </c>
      <c r="W28" s="2">
        <v>30000</v>
      </c>
      <c r="X28" s="4">
        <f t="shared" si="5"/>
        <v>42000</v>
      </c>
      <c r="Y28" s="4">
        <f t="shared" si="6"/>
        <v>42000</v>
      </c>
      <c r="Z28" s="4">
        <f t="shared" si="7"/>
        <v>84000</v>
      </c>
      <c r="AA28" s="5">
        <f t="shared" si="8"/>
        <v>6839.9999999999991</v>
      </c>
      <c r="AB28" s="5">
        <f t="shared" si="9"/>
        <v>7649.9999999999991</v>
      </c>
      <c r="AC28" s="4">
        <f t="shared" si="10"/>
        <v>9000</v>
      </c>
      <c r="AD28" s="5">
        <f t="shared" si="11"/>
        <v>3561.39</v>
      </c>
      <c r="AE28" s="5">
        <f t="shared" si="12"/>
        <v>4203.4436999999989</v>
      </c>
      <c r="AF28" s="5">
        <f t="shared" si="13"/>
        <v>4990.5</v>
      </c>
      <c r="AG28" s="5">
        <f t="shared" si="14"/>
        <v>122274.39</v>
      </c>
      <c r="AH28" s="5">
        <f t="shared" si="15"/>
        <v>144318.23369999998</v>
      </c>
      <c r="AI28" s="5">
        <f t="shared" si="16"/>
        <v>171340.5</v>
      </c>
      <c r="AK28" s="16" t="s">
        <v>129</v>
      </c>
      <c r="AL28" s="32" t="s">
        <v>130</v>
      </c>
      <c r="AM28" s="22" t="s">
        <v>131</v>
      </c>
      <c r="AN28" s="22">
        <v>4.5599999999999996</v>
      </c>
      <c r="AO28" s="22">
        <v>5.0999999999999996</v>
      </c>
      <c r="AP28" s="22">
        <v>6</v>
      </c>
      <c r="AQ28" s="22">
        <v>16000</v>
      </c>
      <c r="AR28" s="22">
        <v>27360</v>
      </c>
      <c r="AS28" s="22">
        <v>47597</v>
      </c>
      <c r="AT28" s="22">
        <v>72000</v>
      </c>
      <c r="AU28" s="22">
        <v>67200</v>
      </c>
      <c r="AV28" s="22">
        <v>6840</v>
      </c>
      <c r="AW28" s="22">
        <v>7650</v>
      </c>
      <c r="AX28" s="22">
        <v>9000</v>
      </c>
      <c r="AY28" s="22">
        <v>3042</v>
      </c>
      <c r="AZ28" s="22">
        <v>3673</v>
      </c>
      <c r="BA28" s="22">
        <v>4446</v>
      </c>
      <c r="BB28" s="22">
        <v>104442</v>
      </c>
      <c r="BC28" s="22">
        <v>126121</v>
      </c>
      <c r="BD28" s="22">
        <v>152646</v>
      </c>
      <c r="BE28" s="22">
        <v>5.12</v>
      </c>
      <c r="BF28" s="22">
        <v>5.66</v>
      </c>
      <c r="BG28" s="22">
        <v>6.56</v>
      </c>
      <c r="BH28" s="22">
        <v>2.8</v>
      </c>
    </row>
    <row r="29" spans="1:61" ht="24" customHeight="1" thickBot="1" x14ac:dyDescent="0.25">
      <c r="A29" s="4" t="s">
        <v>241</v>
      </c>
      <c r="B29" s="2" t="s">
        <v>134</v>
      </c>
      <c r="C29" s="4">
        <f>I1</f>
        <v>16300</v>
      </c>
      <c r="D29" s="2">
        <v>27.367000000000001</v>
      </c>
      <c r="E29" s="2">
        <v>30.420999999999999</v>
      </c>
      <c r="F29" s="2">
        <v>35.51</v>
      </c>
      <c r="G29" s="4">
        <v>25.786999999999999</v>
      </c>
      <c r="H29" s="4">
        <v>28.841000000000001</v>
      </c>
      <c r="I29" s="4">
        <v>33.93</v>
      </c>
      <c r="J29" s="5">
        <f t="shared" si="0"/>
        <v>157623.03750000001</v>
      </c>
      <c r="K29" s="5">
        <f t="shared" si="1"/>
        <v>274073.13890000002</v>
      </c>
      <c r="L29" s="3">
        <f t="shared" si="2"/>
        <v>414794.25</v>
      </c>
      <c r="M29" s="3">
        <v>0</v>
      </c>
      <c r="N29" s="3">
        <v>401</v>
      </c>
      <c r="O29" s="5">
        <f t="shared" si="3"/>
        <v>401</v>
      </c>
      <c r="P29" s="3" t="s">
        <v>211</v>
      </c>
      <c r="Q29" s="3" t="s">
        <v>210</v>
      </c>
      <c r="R29" s="3" t="s">
        <v>207</v>
      </c>
      <c r="S29" s="34">
        <v>7.88</v>
      </c>
      <c r="T29" s="34">
        <v>0</v>
      </c>
      <c r="U29" s="34">
        <f t="shared" si="4"/>
        <v>7.88</v>
      </c>
      <c r="V29" s="3">
        <v>27000</v>
      </c>
      <c r="W29" s="2">
        <v>0</v>
      </c>
      <c r="X29" s="4">
        <f t="shared" si="5"/>
        <v>212760</v>
      </c>
      <c r="Y29" s="4">
        <f t="shared" si="6"/>
        <v>0</v>
      </c>
      <c r="Z29" s="4">
        <f t="shared" si="7"/>
        <v>212760</v>
      </c>
      <c r="AA29" s="5">
        <f t="shared" si="8"/>
        <v>38680.5</v>
      </c>
      <c r="AB29" s="5">
        <f t="shared" si="9"/>
        <v>43261.5</v>
      </c>
      <c r="AC29" s="4">
        <f t="shared" si="10"/>
        <v>50895</v>
      </c>
      <c r="AD29" s="5">
        <f t="shared" si="11"/>
        <v>12271.906125</v>
      </c>
      <c r="AE29" s="5">
        <f t="shared" si="12"/>
        <v>15902.839167</v>
      </c>
      <c r="AF29" s="5">
        <f t="shared" si="13"/>
        <v>20353.477500000001</v>
      </c>
      <c r="AG29" s="5">
        <f t="shared" si="14"/>
        <v>421335.44362499996</v>
      </c>
      <c r="AH29" s="5">
        <f t="shared" si="15"/>
        <v>545997.47806700005</v>
      </c>
      <c r="AI29" s="5">
        <f t="shared" si="16"/>
        <v>698802.72750000004</v>
      </c>
      <c r="AK29" s="16" t="s">
        <v>132</v>
      </c>
      <c r="AL29" s="32" t="s">
        <v>133</v>
      </c>
      <c r="AM29" s="22" t="s">
        <v>134</v>
      </c>
      <c r="AN29" s="22">
        <v>25.786999999999999</v>
      </c>
      <c r="AO29" s="22">
        <v>28.841000000000001</v>
      </c>
      <c r="AP29" s="22">
        <v>33.93</v>
      </c>
      <c r="AQ29" s="22">
        <v>16000</v>
      </c>
      <c r="AR29" s="22">
        <v>154722</v>
      </c>
      <c r="AS29" s="22">
        <v>269167</v>
      </c>
      <c r="AT29" s="22">
        <v>407160</v>
      </c>
      <c r="AU29" s="22">
        <v>141912</v>
      </c>
      <c r="AV29" s="22">
        <v>38681</v>
      </c>
      <c r="AW29" s="22">
        <v>43262</v>
      </c>
      <c r="AX29" s="22">
        <v>50895</v>
      </c>
      <c r="AY29" s="22">
        <v>10059</v>
      </c>
      <c r="AZ29" s="22">
        <v>13630</v>
      </c>
      <c r="BA29" s="22">
        <v>17999</v>
      </c>
      <c r="BB29" s="22">
        <v>345374</v>
      </c>
      <c r="BC29" s="22">
        <v>467971</v>
      </c>
      <c r="BD29" s="22">
        <v>617966</v>
      </c>
      <c r="BE29" s="22">
        <v>27.367000000000001</v>
      </c>
      <c r="BF29" s="22">
        <v>30.420999999999999</v>
      </c>
      <c r="BG29" s="22">
        <v>35.51</v>
      </c>
      <c r="BH29" s="22">
        <v>7.8840000000000003</v>
      </c>
    </row>
    <row r="30" spans="1:61" ht="24" customHeight="1" thickBot="1" x14ac:dyDescent="0.25">
      <c r="A30" s="4" t="s">
        <v>241</v>
      </c>
      <c r="B30" s="2" t="s">
        <v>242</v>
      </c>
      <c r="C30" s="4">
        <f>I1</f>
        <v>16300</v>
      </c>
      <c r="D30" s="2">
        <v>6.65</v>
      </c>
      <c r="E30" s="2">
        <v>7.4109999999999996</v>
      </c>
      <c r="F30" s="2">
        <v>8.6780000000000008</v>
      </c>
      <c r="G30" s="4">
        <v>6.4219999999999997</v>
      </c>
      <c r="H30" s="4">
        <v>7.1829999999999998</v>
      </c>
      <c r="I30" s="4">
        <v>8.4499999999999993</v>
      </c>
      <c r="J30" s="5">
        <f t="shared" ref="J30:J53" si="17">C30*0.375*G30</f>
        <v>39254.474999999999</v>
      </c>
      <c r="K30" s="5">
        <f t="shared" ref="K30:K53" si="18">C30*0.583*H30</f>
        <v>68259.330699999991</v>
      </c>
      <c r="L30" s="5">
        <f t="shared" ref="L30:L53" si="19">C30*0.75*I30</f>
        <v>103301.24999999999</v>
      </c>
      <c r="M30" s="2">
        <v>0</v>
      </c>
      <c r="N30" s="2">
        <v>33</v>
      </c>
      <c r="O30" s="5">
        <f t="shared" si="3"/>
        <v>33</v>
      </c>
      <c r="P30" s="2" t="s">
        <v>211</v>
      </c>
      <c r="Q30" s="2" t="s">
        <v>210</v>
      </c>
      <c r="R30" s="2" t="s">
        <v>207</v>
      </c>
      <c r="S30" s="35">
        <v>1.1419999999999999</v>
      </c>
      <c r="T30" s="35">
        <v>0</v>
      </c>
      <c r="U30" s="34">
        <f t="shared" si="4"/>
        <v>1.1419999999999999</v>
      </c>
      <c r="V30" s="2">
        <v>27000</v>
      </c>
      <c r="W30" s="2">
        <v>0</v>
      </c>
      <c r="X30" s="4">
        <f t="shared" si="5"/>
        <v>30833.999999999996</v>
      </c>
      <c r="Y30" s="4">
        <f t="shared" si="6"/>
        <v>0</v>
      </c>
      <c r="Z30" s="4">
        <f t="shared" si="7"/>
        <v>30833.999999999996</v>
      </c>
      <c r="AA30" s="5">
        <f t="shared" si="8"/>
        <v>9633</v>
      </c>
      <c r="AB30" s="5">
        <f t="shared" si="9"/>
        <v>10774.5</v>
      </c>
      <c r="AC30" s="4">
        <f t="shared" si="10"/>
        <v>12674.999999999998</v>
      </c>
      <c r="AD30" s="5">
        <f t="shared" si="11"/>
        <v>2391.6442499999998</v>
      </c>
      <c r="AE30" s="5">
        <f t="shared" si="12"/>
        <v>3296.0349209999995</v>
      </c>
      <c r="AF30" s="5">
        <f t="shared" si="13"/>
        <v>4404.307499999999</v>
      </c>
      <c r="AG30" s="5">
        <f t="shared" si="14"/>
        <v>82113.119249999989</v>
      </c>
      <c r="AH30" s="5">
        <f t="shared" si="15"/>
        <v>113163.86562099999</v>
      </c>
      <c r="AI30" s="5">
        <f t="shared" si="16"/>
        <v>151214.55749999997</v>
      </c>
      <c r="AK30" s="16" t="s">
        <v>135</v>
      </c>
      <c r="AL30" s="16" t="s">
        <v>136</v>
      </c>
      <c r="AM30" s="22" t="s">
        <v>137</v>
      </c>
      <c r="AN30" s="22">
        <v>6.4219999999999997</v>
      </c>
      <c r="AO30" s="22">
        <v>7.1829999999999998</v>
      </c>
      <c r="AP30" s="22">
        <v>8.4499999999999993</v>
      </c>
      <c r="AQ30" s="22">
        <v>16000</v>
      </c>
      <c r="AR30" s="22">
        <v>38532</v>
      </c>
      <c r="AS30" s="22">
        <v>67038</v>
      </c>
      <c r="AT30" s="22">
        <v>101400</v>
      </c>
      <c r="AU30" s="22">
        <v>20556</v>
      </c>
      <c r="AV30" s="22">
        <v>9633</v>
      </c>
      <c r="AW30" s="22">
        <v>10775</v>
      </c>
      <c r="AX30" s="22">
        <v>12675</v>
      </c>
      <c r="AY30" s="22">
        <v>2062</v>
      </c>
      <c r="AZ30" s="22">
        <v>2951</v>
      </c>
      <c r="BA30" s="22">
        <v>4039</v>
      </c>
      <c r="BB30" s="22">
        <v>70783</v>
      </c>
      <c r="BC30" s="22">
        <v>101319</v>
      </c>
      <c r="BD30" s="22">
        <v>138670</v>
      </c>
      <c r="BE30" s="22">
        <v>6.65</v>
      </c>
      <c r="BF30" s="22">
        <v>7.4109999999999996</v>
      </c>
      <c r="BG30" s="22">
        <v>8.6780000000000008</v>
      </c>
      <c r="BH30" s="22">
        <v>1.1419999999999999</v>
      </c>
    </row>
    <row r="31" spans="1:61" ht="24" customHeight="1" thickBot="1" x14ac:dyDescent="0.25">
      <c r="A31" s="2" t="s">
        <v>6</v>
      </c>
      <c r="B31" s="2" t="s">
        <v>140</v>
      </c>
      <c r="C31" s="4">
        <f>I1</f>
        <v>16300</v>
      </c>
      <c r="D31" s="2">
        <v>4.5599999999999996</v>
      </c>
      <c r="E31" s="2">
        <v>5.12</v>
      </c>
      <c r="F31" s="2">
        <v>5.9</v>
      </c>
      <c r="G31" s="4">
        <v>3.42</v>
      </c>
      <c r="H31" s="4">
        <v>3.98</v>
      </c>
      <c r="I31" s="4">
        <v>4.76</v>
      </c>
      <c r="J31" s="5">
        <f t="shared" si="17"/>
        <v>20904.75</v>
      </c>
      <c r="K31" s="5">
        <f t="shared" si="18"/>
        <v>37821.542000000001</v>
      </c>
      <c r="L31" s="5">
        <f t="shared" si="19"/>
        <v>58191</v>
      </c>
      <c r="M31" s="2">
        <v>0</v>
      </c>
      <c r="N31" s="2">
        <v>19</v>
      </c>
      <c r="O31" s="5">
        <f t="shared" si="3"/>
        <v>19</v>
      </c>
      <c r="P31" s="2" t="s">
        <v>228</v>
      </c>
      <c r="Q31" s="2" t="s">
        <v>210</v>
      </c>
      <c r="R31" s="2" t="s">
        <v>207</v>
      </c>
      <c r="S31" s="35">
        <v>0</v>
      </c>
      <c r="T31" s="35">
        <v>4.28</v>
      </c>
      <c r="U31" s="34">
        <f t="shared" si="4"/>
        <v>4.28</v>
      </c>
      <c r="V31" s="2">
        <v>0</v>
      </c>
      <c r="W31" s="2">
        <v>30000</v>
      </c>
      <c r="X31" s="4">
        <f t="shared" si="5"/>
        <v>0</v>
      </c>
      <c r="Y31" s="4">
        <f t="shared" si="6"/>
        <v>128400.00000000001</v>
      </c>
      <c r="Z31" s="4">
        <f t="shared" si="7"/>
        <v>128400.00000000001</v>
      </c>
      <c r="AA31" s="5">
        <f t="shared" si="8"/>
        <v>5130</v>
      </c>
      <c r="AB31" s="5">
        <f t="shared" si="9"/>
        <v>5970</v>
      </c>
      <c r="AC31" s="4">
        <f t="shared" si="10"/>
        <v>7140</v>
      </c>
      <c r="AD31" s="5">
        <f t="shared" si="11"/>
        <v>4633.0424999999996</v>
      </c>
      <c r="AE31" s="5">
        <f t="shared" si="12"/>
        <v>5165.7462599999999</v>
      </c>
      <c r="AF31" s="5">
        <f t="shared" si="13"/>
        <v>5811.9299999999994</v>
      </c>
      <c r="AG31" s="5">
        <f t="shared" si="14"/>
        <v>159067.79250000001</v>
      </c>
      <c r="AH31" s="5">
        <f t="shared" si="15"/>
        <v>177357.28826</v>
      </c>
      <c r="AI31" s="5">
        <f t="shared" si="16"/>
        <v>199542.93</v>
      </c>
      <c r="AK31" s="16" t="s">
        <v>138</v>
      </c>
      <c r="AL31" s="16" t="s">
        <v>139</v>
      </c>
      <c r="AM31" s="22" t="s">
        <v>140</v>
      </c>
      <c r="AN31" s="22">
        <v>3.42</v>
      </c>
      <c r="AO31" s="22">
        <v>3.98</v>
      </c>
      <c r="AP31" s="22">
        <v>4.76</v>
      </c>
      <c r="AQ31" s="22">
        <v>16000</v>
      </c>
      <c r="AR31" s="22">
        <v>20520</v>
      </c>
      <c r="AS31" s="22">
        <v>37145</v>
      </c>
      <c r="AT31" s="22">
        <v>57120</v>
      </c>
      <c r="AU31" s="22">
        <v>99750</v>
      </c>
      <c r="AV31" s="22">
        <v>5130</v>
      </c>
      <c r="AW31" s="22">
        <v>5970</v>
      </c>
      <c r="AX31" s="22">
        <v>7140</v>
      </c>
      <c r="AY31" s="22">
        <v>3762</v>
      </c>
      <c r="AZ31" s="22">
        <v>4286</v>
      </c>
      <c r="BA31" s="22">
        <v>4920</v>
      </c>
      <c r="BB31" s="22">
        <v>129162</v>
      </c>
      <c r="BC31" s="22">
        <v>147150</v>
      </c>
      <c r="BD31" s="22">
        <v>168930</v>
      </c>
      <c r="BE31" s="22">
        <v>4.5599999999999996</v>
      </c>
      <c r="BF31" s="22">
        <v>5.12</v>
      </c>
      <c r="BG31" s="22">
        <v>5.9</v>
      </c>
      <c r="BH31" s="22">
        <v>5.7</v>
      </c>
    </row>
    <row r="32" spans="1:61" ht="24" customHeight="1" thickBot="1" x14ac:dyDescent="0.25">
      <c r="A32" s="2" t="s">
        <v>6</v>
      </c>
      <c r="B32" s="2" t="s">
        <v>143</v>
      </c>
      <c r="C32" s="2">
        <f>I1</f>
        <v>16300</v>
      </c>
      <c r="D32" s="2">
        <v>1.49</v>
      </c>
      <c r="E32" s="2">
        <v>1.73</v>
      </c>
      <c r="F32" s="2">
        <v>2.06</v>
      </c>
      <c r="G32" s="4">
        <v>1.44</v>
      </c>
      <c r="H32" s="4">
        <v>1.68</v>
      </c>
      <c r="I32" s="4">
        <v>2.0099999999999998</v>
      </c>
      <c r="J32" s="5">
        <f t="shared" si="17"/>
        <v>8802</v>
      </c>
      <c r="K32" s="5">
        <f t="shared" si="18"/>
        <v>15964.871999999999</v>
      </c>
      <c r="L32" s="5">
        <f t="shared" si="19"/>
        <v>24572.249999999996</v>
      </c>
      <c r="M32" s="2">
        <v>0</v>
      </c>
      <c r="N32" s="2">
        <v>9</v>
      </c>
      <c r="O32" s="5">
        <f t="shared" si="3"/>
        <v>9</v>
      </c>
      <c r="P32" s="2" t="s">
        <v>211</v>
      </c>
      <c r="Q32" s="2" t="s">
        <v>210</v>
      </c>
      <c r="R32" s="2" t="s">
        <v>207</v>
      </c>
      <c r="S32" s="35">
        <v>0</v>
      </c>
      <c r="T32" s="35">
        <v>0.20300000000000001</v>
      </c>
      <c r="U32" s="34">
        <f t="shared" si="4"/>
        <v>0.20300000000000001</v>
      </c>
      <c r="V32" s="2">
        <v>0</v>
      </c>
      <c r="W32" s="2">
        <v>27000</v>
      </c>
      <c r="X32" s="4">
        <f t="shared" si="5"/>
        <v>0</v>
      </c>
      <c r="Y32" s="4">
        <f t="shared" si="6"/>
        <v>5481</v>
      </c>
      <c r="Z32" s="4">
        <f t="shared" si="7"/>
        <v>5481</v>
      </c>
      <c r="AA32" s="5">
        <f t="shared" si="8"/>
        <v>2160</v>
      </c>
      <c r="AB32" s="5">
        <f t="shared" si="9"/>
        <v>2520</v>
      </c>
      <c r="AC32" s="4">
        <f t="shared" si="10"/>
        <v>3014.9999999999995</v>
      </c>
      <c r="AD32" s="5">
        <f t="shared" si="11"/>
        <v>493.28999999999996</v>
      </c>
      <c r="AE32" s="5">
        <f t="shared" si="12"/>
        <v>718.97615999999994</v>
      </c>
      <c r="AF32" s="5">
        <f t="shared" si="13"/>
        <v>992.04749999999979</v>
      </c>
      <c r="AG32" s="5">
        <f t="shared" si="14"/>
        <v>16936.29</v>
      </c>
      <c r="AH32" s="5">
        <f t="shared" si="15"/>
        <v>24684.848159999998</v>
      </c>
      <c r="AI32" s="5">
        <f t="shared" si="16"/>
        <v>34060.297499999993</v>
      </c>
      <c r="AK32" s="16" t="s">
        <v>141</v>
      </c>
      <c r="AL32" s="16" t="s">
        <v>142</v>
      </c>
      <c r="AM32" s="22" t="s">
        <v>143</v>
      </c>
      <c r="AN32" s="22">
        <v>1.44</v>
      </c>
      <c r="AO32" s="22">
        <v>1.68</v>
      </c>
      <c r="AP32" s="22">
        <v>2.0099999999999998</v>
      </c>
      <c r="AQ32" s="22">
        <v>16000</v>
      </c>
      <c r="AR32" s="22">
        <v>8640</v>
      </c>
      <c r="AS32" s="22">
        <v>15679</v>
      </c>
      <c r="AT32" s="22">
        <v>24120</v>
      </c>
      <c r="AU32" s="22">
        <v>5000</v>
      </c>
      <c r="AV32" s="22">
        <v>2160</v>
      </c>
      <c r="AW32" s="22">
        <v>2520</v>
      </c>
      <c r="AX32" s="22">
        <v>3015</v>
      </c>
      <c r="AY32" s="22">
        <v>474</v>
      </c>
      <c r="AZ32" s="22">
        <v>696</v>
      </c>
      <c r="BA32" s="22">
        <v>964</v>
      </c>
      <c r="BB32" s="22">
        <v>16274</v>
      </c>
      <c r="BC32" s="22">
        <v>23895</v>
      </c>
      <c r="BD32" s="22">
        <v>33099</v>
      </c>
      <c r="BE32" s="22">
        <v>1.49</v>
      </c>
      <c r="BF32" s="22">
        <v>1.73</v>
      </c>
      <c r="BG32" s="22">
        <v>2.06</v>
      </c>
      <c r="BH32" s="22">
        <v>0.248</v>
      </c>
    </row>
    <row r="33" spans="1:60" ht="24" customHeight="1" thickBot="1" x14ac:dyDescent="0.25">
      <c r="A33" s="2" t="s">
        <v>6</v>
      </c>
      <c r="B33" s="2" t="s">
        <v>146</v>
      </c>
      <c r="C33" s="2">
        <f>I1</f>
        <v>16300</v>
      </c>
      <c r="D33" s="2">
        <v>1.782</v>
      </c>
      <c r="E33" s="2">
        <v>2.0619999999999998</v>
      </c>
      <c r="F33" s="2">
        <v>2.4420000000000002</v>
      </c>
      <c r="G33" s="4">
        <v>1.69</v>
      </c>
      <c r="H33" s="4">
        <v>1.97</v>
      </c>
      <c r="I33" s="4">
        <v>2.35</v>
      </c>
      <c r="J33" s="5">
        <f t="shared" si="17"/>
        <v>10330.125</v>
      </c>
      <c r="K33" s="5">
        <f t="shared" si="18"/>
        <v>18720.713</v>
      </c>
      <c r="L33" s="5">
        <f t="shared" si="19"/>
        <v>28728.75</v>
      </c>
      <c r="M33" s="2">
        <v>0</v>
      </c>
      <c r="N33" s="2">
        <v>12</v>
      </c>
      <c r="O33" s="5">
        <f t="shared" si="3"/>
        <v>12</v>
      </c>
      <c r="P33" s="2" t="s">
        <v>239</v>
      </c>
      <c r="Q33" s="2" t="s">
        <v>211</v>
      </c>
      <c r="R33" s="2" t="s">
        <v>207</v>
      </c>
      <c r="S33" s="35">
        <v>0.31</v>
      </c>
      <c r="T33" s="35">
        <v>0.15</v>
      </c>
      <c r="U33" s="34">
        <f t="shared" si="4"/>
        <v>0.45999999999999996</v>
      </c>
      <c r="V33" s="2">
        <v>30000</v>
      </c>
      <c r="W33" s="2">
        <v>27000</v>
      </c>
      <c r="X33" s="4">
        <f t="shared" si="5"/>
        <v>9300</v>
      </c>
      <c r="Y33" s="4">
        <f t="shared" si="6"/>
        <v>4050</v>
      </c>
      <c r="Z33" s="4">
        <f t="shared" si="7"/>
        <v>13350</v>
      </c>
      <c r="AA33" s="5">
        <f t="shared" si="8"/>
        <v>2535</v>
      </c>
      <c r="AB33" s="5">
        <f t="shared" si="9"/>
        <v>2955</v>
      </c>
      <c r="AC33" s="4">
        <f t="shared" si="10"/>
        <v>3525</v>
      </c>
      <c r="AD33" s="5">
        <f t="shared" si="11"/>
        <v>786.45375000000001</v>
      </c>
      <c r="AE33" s="5">
        <f t="shared" si="12"/>
        <v>1050.7713900000001</v>
      </c>
      <c r="AF33" s="5">
        <f t="shared" si="13"/>
        <v>1368.1125</v>
      </c>
      <c r="AG33" s="5">
        <f t="shared" si="14"/>
        <v>27001.578750000001</v>
      </c>
      <c r="AH33" s="5">
        <f t="shared" si="15"/>
        <v>36076.484390000005</v>
      </c>
      <c r="AI33" s="5">
        <f t="shared" si="16"/>
        <v>46971.862500000003</v>
      </c>
      <c r="AK33" s="16" t="s">
        <v>144</v>
      </c>
      <c r="AL33" s="16" t="s">
        <v>145</v>
      </c>
      <c r="AM33" s="22" t="s">
        <v>146</v>
      </c>
      <c r="AN33" s="22">
        <v>1.69</v>
      </c>
      <c r="AO33" s="22">
        <v>1.97</v>
      </c>
      <c r="AP33" s="22">
        <v>2.35</v>
      </c>
      <c r="AQ33" s="22">
        <v>16000</v>
      </c>
      <c r="AR33" s="22">
        <v>10140</v>
      </c>
      <c r="AS33" s="22">
        <v>18386</v>
      </c>
      <c r="AT33" s="22">
        <v>28200</v>
      </c>
      <c r="AU33" s="22">
        <v>9465</v>
      </c>
      <c r="AV33" s="22">
        <v>2535</v>
      </c>
      <c r="AW33" s="22">
        <v>2955</v>
      </c>
      <c r="AX33" s="22">
        <v>3525</v>
      </c>
      <c r="AY33" s="22">
        <v>664</v>
      </c>
      <c r="AZ33" s="22">
        <v>924</v>
      </c>
      <c r="BA33" s="22">
        <v>1236</v>
      </c>
      <c r="BB33" s="22">
        <v>22804</v>
      </c>
      <c r="BC33" s="22">
        <v>31730</v>
      </c>
      <c r="BD33" s="22">
        <v>42426</v>
      </c>
      <c r="BE33" s="22">
        <v>1.782</v>
      </c>
      <c r="BF33" s="22">
        <v>2.0619999999999998</v>
      </c>
      <c r="BG33" s="22">
        <v>2.4420000000000002</v>
      </c>
      <c r="BH33" s="22">
        <v>0.46</v>
      </c>
    </row>
    <row r="34" spans="1:60" ht="24" customHeight="1" thickBot="1" x14ac:dyDescent="0.25">
      <c r="A34" s="2" t="s">
        <v>6</v>
      </c>
      <c r="B34" s="2" t="s">
        <v>149</v>
      </c>
      <c r="C34" s="2">
        <f>I1</f>
        <v>16300</v>
      </c>
      <c r="D34" s="2">
        <v>1.7190000000000001</v>
      </c>
      <c r="E34" s="2">
        <v>1.9990000000000001</v>
      </c>
      <c r="F34" s="2">
        <v>2.379</v>
      </c>
      <c r="G34" s="4">
        <v>1.69</v>
      </c>
      <c r="H34" s="4">
        <v>1.97</v>
      </c>
      <c r="I34" s="4">
        <v>2.35</v>
      </c>
      <c r="J34" s="5">
        <f t="shared" si="17"/>
        <v>10330.125</v>
      </c>
      <c r="K34" s="5">
        <f t="shared" si="18"/>
        <v>18720.713</v>
      </c>
      <c r="L34" s="5">
        <f t="shared" si="19"/>
        <v>28728.75</v>
      </c>
      <c r="M34" s="2">
        <v>0</v>
      </c>
      <c r="N34" s="2">
        <v>11</v>
      </c>
      <c r="O34" s="5">
        <f t="shared" si="3"/>
        <v>11</v>
      </c>
      <c r="P34" s="2" t="s">
        <v>211</v>
      </c>
      <c r="Q34" s="2" t="s">
        <v>210</v>
      </c>
      <c r="R34" s="2" t="s">
        <v>207</v>
      </c>
      <c r="S34" s="35">
        <v>0</v>
      </c>
      <c r="T34" s="35">
        <v>0.14699999999999999</v>
      </c>
      <c r="U34" s="34">
        <f t="shared" si="4"/>
        <v>0.14699999999999999</v>
      </c>
      <c r="V34" s="2">
        <v>0</v>
      </c>
      <c r="W34" s="2">
        <v>27000</v>
      </c>
      <c r="X34" s="4">
        <f t="shared" si="5"/>
        <v>0</v>
      </c>
      <c r="Y34" s="4">
        <f t="shared" si="6"/>
        <v>3969</v>
      </c>
      <c r="Z34" s="4">
        <f t="shared" si="7"/>
        <v>3969</v>
      </c>
      <c r="AA34" s="5">
        <f t="shared" si="8"/>
        <v>2535</v>
      </c>
      <c r="AB34" s="5">
        <f t="shared" si="9"/>
        <v>2955</v>
      </c>
      <c r="AC34" s="4">
        <f t="shared" si="10"/>
        <v>3525</v>
      </c>
      <c r="AD34" s="5">
        <f t="shared" si="11"/>
        <v>505.02375000000001</v>
      </c>
      <c r="AE34" s="5">
        <f t="shared" si="12"/>
        <v>769.34138999999993</v>
      </c>
      <c r="AF34" s="5">
        <f t="shared" si="13"/>
        <v>1086.6824999999999</v>
      </c>
      <c r="AG34" s="5">
        <f t="shared" si="14"/>
        <v>17339.14875</v>
      </c>
      <c r="AH34" s="5">
        <f t="shared" si="15"/>
        <v>26414.054390000001</v>
      </c>
      <c r="AI34" s="5">
        <f t="shared" si="16"/>
        <v>37309.432500000003</v>
      </c>
      <c r="AK34" s="16" t="s">
        <v>147</v>
      </c>
      <c r="AL34" s="16" t="s">
        <v>148</v>
      </c>
      <c r="AM34" s="22" t="s">
        <v>149</v>
      </c>
      <c r="AN34" s="22">
        <v>1.69</v>
      </c>
      <c r="AO34" s="22">
        <v>1.97</v>
      </c>
      <c r="AP34" s="22">
        <v>2.35</v>
      </c>
      <c r="AQ34" s="22">
        <v>16000</v>
      </c>
      <c r="AR34" s="22">
        <v>10140</v>
      </c>
      <c r="AS34" s="22">
        <v>18386</v>
      </c>
      <c r="AT34" s="22">
        <v>28200</v>
      </c>
      <c r="AU34" s="22">
        <v>2940</v>
      </c>
      <c r="AV34" s="22">
        <v>2535</v>
      </c>
      <c r="AW34" s="22">
        <v>2955</v>
      </c>
      <c r="AX34" s="22">
        <v>3525</v>
      </c>
      <c r="AY34" s="22">
        <v>468</v>
      </c>
      <c r="AZ34" s="22">
        <v>728</v>
      </c>
      <c r="BA34" s="22">
        <v>1040</v>
      </c>
      <c r="BB34" s="22">
        <v>16083</v>
      </c>
      <c r="BC34" s="22">
        <v>25009</v>
      </c>
      <c r="BD34" s="22">
        <v>35705</v>
      </c>
      <c r="BE34" s="22">
        <v>1.7190000000000001</v>
      </c>
      <c r="BF34" s="22">
        <v>1.9990000000000001</v>
      </c>
      <c r="BG34" s="22">
        <v>2.379</v>
      </c>
      <c r="BH34" s="22">
        <v>0.14699999999999999</v>
      </c>
    </row>
    <row r="35" spans="1:60" ht="24" customHeight="1" thickBot="1" x14ac:dyDescent="0.25">
      <c r="A35" s="2" t="s">
        <v>6</v>
      </c>
      <c r="B35" s="2" t="s">
        <v>152</v>
      </c>
      <c r="C35" s="2">
        <f>I1</f>
        <v>16300</v>
      </c>
      <c r="D35" s="2">
        <v>3.968</v>
      </c>
      <c r="E35" s="2">
        <v>4.4980000000000002</v>
      </c>
      <c r="F35" s="2">
        <v>5.2380000000000004</v>
      </c>
      <c r="G35" s="4">
        <v>3.26</v>
      </c>
      <c r="H35" s="4">
        <v>3.79</v>
      </c>
      <c r="I35" s="4">
        <v>4.53</v>
      </c>
      <c r="J35" s="5">
        <f t="shared" si="17"/>
        <v>19926.75</v>
      </c>
      <c r="K35" s="5">
        <f t="shared" si="18"/>
        <v>36015.991000000002</v>
      </c>
      <c r="L35" s="5">
        <f t="shared" si="19"/>
        <v>55379.25</v>
      </c>
      <c r="M35" s="2">
        <v>0</v>
      </c>
      <c r="N35" s="2">
        <v>118</v>
      </c>
      <c r="O35" s="5">
        <f t="shared" si="3"/>
        <v>118</v>
      </c>
      <c r="P35" s="2" t="s">
        <v>212</v>
      </c>
      <c r="Q35" s="2" t="s">
        <v>211</v>
      </c>
      <c r="R35" s="2" t="s">
        <v>207</v>
      </c>
      <c r="S35" s="35">
        <v>2.89</v>
      </c>
      <c r="T35" s="35">
        <v>0.65</v>
      </c>
      <c r="U35" s="34">
        <f t="shared" si="4"/>
        <v>3.54</v>
      </c>
      <c r="V35" s="2">
        <v>30000</v>
      </c>
      <c r="W35" s="2">
        <v>30000</v>
      </c>
      <c r="X35" s="4">
        <f t="shared" si="5"/>
        <v>86700</v>
      </c>
      <c r="Y35" s="4">
        <f t="shared" si="6"/>
        <v>19500</v>
      </c>
      <c r="Z35" s="4">
        <f t="shared" si="7"/>
        <v>106200</v>
      </c>
      <c r="AA35" s="5">
        <f t="shared" si="8"/>
        <v>4890</v>
      </c>
      <c r="AB35" s="5">
        <f t="shared" si="9"/>
        <v>5685</v>
      </c>
      <c r="AC35" s="4">
        <f t="shared" si="10"/>
        <v>6795</v>
      </c>
      <c r="AD35" s="5">
        <f t="shared" si="11"/>
        <v>3930.5025000000001</v>
      </c>
      <c r="AE35" s="5">
        <f t="shared" si="12"/>
        <v>4437.0297300000002</v>
      </c>
      <c r="AF35" s="5">
        <f t="shared" si="13"/>
        <v>5051.2275</v>
      </c>
      <c r="AG35" s="5">
        <f t="shared" si="14"/>
        <v>134947.2525</v>
      </c>
      <c r="AH35" s="5">
        <f t="shared" si="15"/>
        <v>152338.02073000002</v>
      </c>
      <c r="AI35" s="5">
        <f t="shared" si="16"/>
        <v>173425.47750000001</v>
      </c>
      <c r="AK35" s="16" t="s">
        <v>150</v>
      </c>
      <c r="AL35" s="16" t="s">
        <v>151</v>
      </c>
      <c r="AM35" s="22" t="s">
        <v>152</v>
      </c>
      <c r="AN35" s="22">
        <v>3.26</v>
      </c>
      <c r="AO35" s="22">
        <v>3.79</v>
      </c>
      <c r="AP35" s="22">
        <v>4.53</v>
      </c>
      <c r="AQ35" s="22">
        <v>16000</v>
      </c>
      <c r="AR35" s="22">
        <v>19560</v>
      </c>
      <c r="AS35" s="22">
        <v>35371</v>
      </c>
      <c r="AT35" s="22">
        <v>54360</v>
      </c>
      <c r="AU35" s="22">
        <v>69987</v>
      </c>
      <c r="AV35" s="22">
        <v>4890</v>
      </c>
      <c r="AW35" s="22">
        <v>5685</v>
      </c>
      <c r="AX35" s="22">
        <v>6795</v>
      </c>
      <c r="AY35" s="22">
        <v>2833</v>
      </c>
      <c r="AZ35" s="22">
        <v>3331</v>
      </c>
      <c r="BA35" s="22">
        <v>3934</v>
      </c>
      <c r="BB35" s="22">
        <v>97270</v>
      </c>
      <c r="BC35" s="22">
        <v>114375</v>
      </c>
      <c r="BD35" s="22">
        <v>135076</v>
      </c>
      <c r="BE35" s="22">
        <v>3.968</v>
      </c>
      <c r="BF35" s="22">
        <v>4.4980000000000002</v>
      </c>
      <c r="BG35" s="22">
        <v>5.2380000000000004</v>
      </c>
      <c r="BH35" s="22">
        <v>3.54</v>
      </c>
    </row>
    <row r="36" spans="1:60" ht="24" customHeight="1" thickBot="1" x14ac:dyDescent="0.25">
      <c r="A36" s="2" t="s">
        <v>6</v>
      </c>
      <c r="B36" s="2" t="s">
        <v>155</v>
      </c>
      <c r="C36" s="2">
        <f>I1</f>
        <v>16300</v>
      </c>
      <c r="D36" s="2">
        <v>2.5099999999999998</v>
      </c>
      <c r="E36" s="2">
        <v>2.88</v>
      </c>
      <c r="F36" s="2">
        <v>3.41</v>
      </c>
      <c r="G36" s="4">
        <v>2.31</v>
      </c>
      <c r="H36" s="4">
        <v>2.68</v>
      </c>
      <c r="I36" s="4">
        <v>3.21</v>
      </c>
      <c r="J36" s="5">
        <f t="shared" si="17"/>
        <v>14119.875</v>
      </c>
      <c r="K36" s="5">
        <f t="shared" si="18"/>
        <v>25467.772000000001</v>
      </c>
      <c r="L36" s="5">
        <f t="shared" si="19"/>
        <v>39242.25</v>
      </c>
      <c r="M36" s="2">
        <v>0</v>
      </c>
      <c r="N36" s="2">
        <v>11</v>
      </c>
      <c r="O36" s="5">
        <f t="shared" si="3"/>
        <v>11</v>
      </c>
      <c r="P36" s="2" t="s">
        <v>239</v>
      </c>
      <c r="Q36" s="2" t="s">
        <v>211</v>
      </c>
      <c r="R36" s="2" t="s">
        <v>207</v>
      </c>
      <c r="S36" s="35">
        <v>0.44</v>
      </c>
      <c r="T36" s="35">
        <v>0.46</v>
      </c>
      <c r="U36" s="34">
        <f t="shared" si="4"/>
        <v>0.9</v>
      </c>
      <c r="V36" s="2">
        <v>27000</v>
      </c>
      <c r="W36" s="2">
        <v>30000</v>
      </c>
      <c r="X36" s="4">
        <f t="shared" si="5"/>
        <v>11880</v>
      </c>
      <c r="Y36" s="4">
        <f t="shared" si="6"/>
        <v>13800</v>
      </c>
      <c r="Z36" s="4">
        <f t="shared" si="7"/>
        <v>25680</v>
      </c>
      <c r="AA36" s="5">
        <f t="shared" si="8"/>
        <v>3465</v>
      </c>
      <c r="AB36" s="5">
        <f t="shared" si="9"/>
        <v>4020.0000000000005</v>
      </c>
      <c r="AC36" s="4">
        <f t="shared" si="10"/>
        <v>4815</v>
      </c>
      <c r="AD36" s="5">
        <f t="shared" si="11"/>
        <v>1297.94625</v>
      </c>
      <c r="AE36" s="5">
        <f t="shared" si="12"/>
        <v>1655.03316</v>
      </c>
      <c r="AF36" s="5">
        <f t="shared" si="13"/>
        <v>2092.1174999999998</v>
      </c>
      <c r="AG36" s="5">
        <f t="shared" si="14"/>
        <v>44562.821250000001</v>
      </c>
      <c r="AH36" s="5">
        <f t="shared" si="15"/>
        <v>56822.805159999996</v>
      </c>
      <c r="AI36" s="5">
        <f t="shared" si="16"/>
        <v>71829.367499999993</v>
      </c>
      <c r="AK36" s="16" t="s">
        <v>153</v>
      </c>
      <c r="AL36" s="16" t="s">
        <v>154</v>
      </c>
      <c r="AM36" s="22" t="s">
        <v>155</v>
      </c>
      <c r="AN36" s="22">
        <v>2.31</v>
      </c>
      <c r="AO36" s="22">
        <v>2.68</v>
      </c>
      <c r="AP36" s="22">
        <v>3.21</v>
      </c>
      <c r="AQ36" s="22">
        <v>16000</v>
      </c>
      <c r="AR36" s="22">
        <v>13860</v>
      </c>
      <c r="AS36" s="22">
        <v>25012</v>
      </c>
      <c r="AT36" s="22">
        <v>38520</v>
      </c>
      <c r="AU36" s="22">
        <v>15250</v>
      </c>
      <c r="AV36" s="22">
        <v>3465</v>
      </c>
      <c r="AW36" s="22">
        <v>4020</v>
      </c>
      <c r="AX36" s="22">
        <v>4815</v>
      </c>
      <c r="AY36" s="22">
        <v>977</v>
      </c>
      <c r="AZ36" s="22">
        <v>1328</v>
      </c>
      <c r="BA36" s="22">
        <v>1758</v>
      </c>
      <c r="BB36" s="22">
        <v>33552</v>
      </c>
      <c r="BC36" s="22">
        <v>45610</v>
      </c>
      <c r="BD36" s="22">
        <v>60343</v>
      </c>
      <c r="BE36" s="22">
        <v>2.5099999999999998</v>
      </c>
      <c r="BF36" s="22">
        <v>2.88</v>
      </c>
      <c r="BG36" s="22">
        <v>3.41</v>
      </c>
      <c r="BH36" s="22">
        <v>1</v>
      </c>
    </row>
    <row r="37" spans="1:60" ht="24" customHeight="1" thickBot="1" x14ac:dyDescent="0.25">
      <c r="A37" s="2" t="s">
        <v>6</v>
      </c>
      <c r="B37" s="2" t="s">
        <v>158</v>
      </c>
      <c r="C37" s="2">
        <f>I1</f>
        <v>16300</v>
      </c>
      <c r="D37" s="2">
        <v>5.0999999999999996</v>
      </c>
      <c r="E37" s="2">
        <v>5.86</v>
      </c>
      <c r="F37" s="2">
        <v>6.92</v>
      </c>
      <c r="G37" s="4">
        <v>4.66</v>
      </c>
      <c r="H37" s="4">
        <v>5.42</v>
      </c>
      <c r="I37" s="4">
        <v>6.48</v>
      </c>
      <c r="J37" s="5">
        <f t="shared" si="17"/>
        <v>28484.25</v>
      </c>
      <c r="K37" s="5">
        <f t="shared" si="18"/>
        <v>51505.718000000001</v>
      </c>
      <c r="L37" s="5">
        <f t="shared" si="19"/>
        <v>79218</v>
      </c>
      <c r="M37" s="2">
        <v>0</v>
      </c>
      <c r="N37" s="2">
        <v>220</v>
      </c>
      <c r="O37" s="5">
        <f t="shared" si="3"/>
        <v>220</v>
      </c>
      <c r="P37" s="2" t="s">
        <v>211</v>
      </c>
      <c r="Q37" s="2" t="s">
        <v>210</v>
      </c>
      <c r="R37" s="2" t="s">
        <v>207</v>
      </c>
      <c r="S37" s="35">
        <v>1.81</v>
      </c>
      <c r="T37" s="35">
        <v>0</v>
      </c>
      <c r="U37" s="34">
        <f t="shared" si="4"/>
        <v>1.81</v>
      </c>
      <c r="V37" s="2">
        <v>27000</v>
      </c>
      <c r="W37" s="2">
        <v>0</v>
      </c>
      <c r="X37" s="4">
        <f t="shared" si="5"/>
        <v>48870</v>
      </c>
      <c r="Y37" s="4">
        <f t="shared" si="6"/>
        <v>0</v>
      </c>
      <c r="Z37" s="4">
        <f t="shared" si="7"/>
        <v>48870</v>
      </c>
      <c r="AA37" s="5">
        <f t="shared" si="8"/>
        <v>6990</v>
      </c>
      <c r="AB37" s="5">
        <f t="shared" si="9"/>
        <v>8130</v>
      </c>
      <c r="AC37" s="4">
        <f t="shared" si="10"/>
        <v>9720</v>
      </c>
      <c r="AD37" s="5">
        <f t="shared" si="11"/>
        <v>2530.3274999999999</v>
      </c>
      <c r="AE37" s="5">
        <f t="shared" si="12"/>
        <v>3255.1715399999998</v>
      </c>
      <c r="AF37" s="5">
        <f t="shared" si="13"/>
        <v>4134.24</v>
      </c>
      <c r="AG37" s="5">
        <f t="shared" si="14"/>
        <v>86874.577499999999</v>
      </c>
      <c r="AH37" s="5">
        <f t="shared" si="15"/>
        <v>111760.88953999999</v>
      </c>
      <c r="AI37" s="5">
        <f t="shared" si="16"/>
        <v>141942.24</v>
      </c>
      <c r="AK37" s="16" t="s">
        <v>156</v>
      </c>
      <c r="AL37" s="16" t="s">
        <v>157</v>
      </c>
      <c r="AM37" s="22" t="s">
        <v>158</v>
      </c>
      <c r="AN37" s="22">
        <v>4.66</v>
      </c>
      <c r="AO37" s="22">
        <v>5.42</v>
      </c>
      <c r="AP37" s="22">
        <v>6.48</v>
      </c>
      <c r="AQ37" s="22">
        <v>16000</v>
      </c>
      <c r="AR37" s="22">
        <v>27960</v>
      </c>
      <c r="AS37" s="22">
        <v>50584</v>
      </c>
      <c r="AT37" s="22">
        <v>77760</v>
      </c>
      <c r="AU37" s="22">
        <v>39600</v>
      </c>
      <c r="AV37" s="22">
        <v>6990</v>
      </c>
      <c r="AW37" s="22">
        <v>8130</v>
      </c>
      <c r="AX37" s="22">
        <v>9720</v>
      </c>
      <c r="AY37" s="22">
        <v>2237</v>
      </c>
      <c r="AZ37" s="22">
        <v>2949</v>
      </c>
      <c r="BA37" s="22">
        <v>3812</v>
      </c>
      <c r="BB37" s="22">
        <v>76787</v>
      </c>
      <c r="BC37" s="22">
        <v>101263</v>
      </c>
      <c r="BD37" s="22">
        <v>130892</v>
      </c>
      <c r="BE37" s="22">
        <v>5.0999999999999996</v>
      </c>
      <c r="BF37" s="22">
        <v>5.86</v>
      </c>
      <c r="BG37" s="22">
        <v>6.92</v>
      </c>
      <c r="BH37" s="22">
        <v>2.2000000000000002</v>
      </c>
    </row>
    <row r="38" spans="1:60" ht="24" customHeight="1" thickBot="1" x14ac:dyDescent="0.25">
      <c r="A38" s="2" t="s">
        <v>6</v>
      </c>
      <c r="B38" s="2" t="s">
        <v>161</v>
      </c>
      <c r="C38" s="2">
        <f>I1</f>
        <v>16300</v>
      </c>
      <c r="D38" s="2">
        <v>1.647</v>
      </c>
      <c r="E38" s="2">
        <v>1.877</v>
      </c>
      <c r="F38" s="2">
        <v>2.2069999999999999</v>
      </c>
      <c r="G38" s="4">
        <v>1.44</v>
      </c>
      <c r="H38" s="4">
        <v>1.67</v>
      </c>
      <c r="I38" s="4">
        <v>2</v>
      </c>
      <c r="J38" s="5">
        <f t="shared" si="17"/>
        <v>8802</v>
      </c>
      <c r="K38" s="5">
        <f t="shared" si="18"/>
        <v>15869.842999999999</v>
      </c>
      <c r="L38" s="5">
        <f t="shared" si="19"/>
        <v>24450</v>
      </c>
      <c r="M38" s="2">
        <v>0</v>
      </c>
      <c r="N38" s="2">
        <v>9</v>
      </c>
      <c r="O38" s="5">
        <f t="shared" si="3"/>
        <v>9</v>
      </c>
      <c r="P38" s="2" t="s">
        <v>211</v>
      </c>
      <c r="Q38" s="2" t="s">
        <v>210</v>
      </c>
      <c r="R38" s="2" t="s">
        <v>207</v>
      </c>
      <c r="S38" s="35">
        <v>0.97</v>
      </c>
      <c r="T38" s="35">
        <v>0</v>
      </c>
      <c r="U38" s="34">
        <f t="shared" si="4"/>
        <v>0.97</v>
      </c>
      <c r="V38" s="2">
        <v>30000</v>
      </c>
      <c r="W38" s="2">
        <v>0</v>
      </c>
      <c r="X38" s="4">
        <f t="shared" si="5"/>
        <v>29100</v>
      </c>
      <c r="Y38" s="4">
        <f t="shared" si="6"/>
        <v>0</v>
      </c>
      <c r="Z38" s="4">
        <f t="shared" si="7"/>
        <v>29100</v>
      </c>
      <c r="AA38" s="5">
        <f t="shared" si="8"/>
        <v>2160</v>
      </c>
      <c r="AB38" s="5">
        <f t="shared" si="9"/>
        <v>2505</v>
      </c>
      <c r="AC38" s="4">
        <f t="shared" si="10"/>
        <v>3000</v>
      </c>
      <c r="AD38" s="5">
        <f t="shared" si="11"/>
        <v>1201.8599999999999</v>
      </c>
      <c r="AE38" s="5">
        <f t="shared" si="12"/>
        <v>1424.2452900000001</v>
      </c>
      <c r="AF38" s="5">
        <f t="shared" si="13"/>
        <v>1696.5</v>
      </c>
      <c r="AG38" s="5">
        <f t="shared" si="14"/>
        <v>41263.86</v>
      </c>
      <c r="AH38" s="5">
        <f t="shared" si="15"/>
        <v>48899.08829</v>
      </c>
      <c r="AI38" s="5">
        <f t="shared" si="16"/>
        <v>58246.5</v>
      </c>
      <c r="AK38" s="16" t="s">
        <v>159</v>
      </c>
      <c r="AL38" s="16" t="s">
        <v>160</v>
      </c>
      <c r="AM38" s="22" t="s">
        <v>161</v>
      </c>
      <c r="AN38" s="22">
        <v>1.44</v>
      </c>
      <c r="AO38" s="22">
        <v>1.67</v>
      </c>
      <c r="AP38" s="22">
        <v>2</v>
      </c>
      <c r="AQ38" s="22">
        <v>16000</v>
      </c>
      <c r="AR38" s="22">
        <v>8640</v>
      </c>
      <c r="AS38" s="22">
        <v>15586</v>
      </c>
      <c r="AT38" s="22">
        <v>24000</v>
      </c>
      <c r="AU38" s="22">
        <v>10900</v>
      </c>
      <c r="AV38" s="22">
        <v>2160</v>
      </c>
      <c r="AW38" s="22">
        <v>2505</v>
      </c>
      <c r="AX38" s="22">
        <v>3000</v>
      </c>
      <c r="AY38" s="22">
        <v>651</v>
      </c>
      <c r="AZ38" s="22">
        <v>870</v>
      </c>
      <c r="BA38" s="22">
        <v>1137</v>
      </c>
      <c r="BB38" s="22">
        <v>22351</v>
      </c>
      <c r="BC38" s="22">
        <v>29860</v>
      </c>
      <c r="BD38" s="22">
        <v>39037</v>
      </c>
      <c r="BE38" s="22">
        <v>1.647</v>
      </c>
      <c r="BF38" s="22">
        <v>1.877</v>
      </c>
      <c r="BG38" s="22">
        <v>2.2069999999999999</v>
      </c>
      <c r="BH38" s="22">
        <v>1.0349999999999999</v>
      </c>
    </row>
    <row r="39" spans="1:60" ht="24" customHeight="1" thickBot="1" x14ac:dyDescent="0.25">
      <c r="A39" s="2" t="s">
        <v>6</v>
      </c>
      <c r="B39" s="2" t="s">
        <v>164</v>
      </c>
      <c r="C39" s="2">
        <f>I1</f>
        <v>16300</v>
      </c>
      <c r="D39" s="2">
        <v>6.97</v>
      </c>
      <c r="E39" s="2">
        <v>8.06</v>
      </c>
      <c r="F39" s="2">
        <v>9.6</v>
      </c>
      <c r="G39" s="4">
        <v>6.74</v>
      </c>
      <c r="H39" s="4">
        <v>7.83</v>
      </c>
      <c r="I39" s="4">
        <v>9.3699999999999992</v>
      </c>
      <c r="J39" s="5">
        <f t="shared" si="17"/>
        <v>41198.25</v>
      </c>
      <c r="K39" s="5">
        <f t="shared" si="18"/>
        <v>74407.706999999995</v>
      </c>
      <c r="L39" s="5">
        <f t="shared" si="19"/>
        <v>114548.24999999999</v>
      </c>
      <c r="M39" s="2">
        <v>0</v>
      </c>
      <c r="N39" s="2">
        <v>10</v>
      </c>
      <c r="O39" s="5">
        <f t="shared" si="3"/>
        <v>10</v>
      </c>
      <c r="P39" s="2" t="s">
        <v>211</v>
      </c>
      <c r="Q39" s="2" t="s">
        <v>210</v>
      </c>
      <c r="R39" s="2" t="s">
        <v>207</v>
      </c>
      <c r="S39" s="35">
        <v>1.01</v>
      </c>
      <c r="T39" s="35">
        <v>0</v>
      </c>
      <c r="U39" s="34">
        <f t="shared" si="4"/>
        <v>1.01</v>
      </c>
      <c r="V39" s="2">
        <v>30000</v>
      </c>
      <c r="W39" s="2">
        <v>0</v>
      </c>
      <c r="X39" s="4">
        <f t="shared" si="5"/>
        <v>30300</v>
      </c>
      <c r="Y39" s="4">
        <f t="shared" si="6"/>
        <v>0</v>
      </c>
      <c r="Z39" s="4">
        <f t="shared" si="7"/>
        <v>30300</v>
      </c>
      <c r="AA39" s="5">
        <f t="shared" si="8"/>
        <v>10110</v>
      </c>
      <c r="AB39" s="5">
        <f t="shared" si="9"/>
        <v>11745</v>
      </c>
      <c r="AC39" s="4">
        <f t="shared" si="10"/>
        <v>14054.999999999998</v>
      </c>
      <c r="AD39" s="5">
        <f t="shared" si="11"/>
        <v>2448.2474999999999</v>
      </c>
      <c r="AE39" s="5">
        <f t="shared" si="12"/>
        <v>3493.5812099999998</v>
      </c>
      <c r="AF39" s="5">
        <f t="shared" si="13"/>
        <v>4767.0974999999999</v>
      </c>
      <c r="AG39" s="5">
        <f t="shared" si="14"/>
        <v>84056.497499999998</v>
      </c>
      <c r="AH39" s="5">
        <f t="shared" si="15"/>
        <v>119946.28821</v>
      </c>
      <c r="AI39" s="5">
        <f t="shared" si="16"/>
        <v>163670.3475</v>
      </c>
      <c r="AK39" s="16" t="s">
        <v>162</v>
      </c>
      <c r="AL39" s="16" t="s">
        <v>163</v>
      </c>
      <c r="AM39" s="22" t="s">
        <v>164</v>
      </c>
      <c r="AN39" s="22">
        <v>6.74</v>
      </c>
      <c r="AO39" s="22">
        <v>7.83</v>
      </c>
      <c r="AP39" s="22">
        <v>9.3699999999999992</v>
      </c>
      <c r="AQ39" s="22">
        <v>16000</v>
      </c>
      <c r="AR39" s="22">
        <v>40440</v>
      </c>
      <c r="AS39" s="22">
        <v>73076</v>
      </c>
      <c r="AT39" s="22">
        <v>112440</v>
      </c>
      <c r="AU39" s="22">
        <v>16100</v>
      </c>
      <c r="AV39" s="22">
        <v>10110</v>
      </c>
      <c r="AW39" s="22">
        <v>11745</v>
      </c>
      <c r="AX39" s="22">
        <v>14055</v>
      </c>
      <c r="AY39" s="22">
        <v>2000</v>
      </c>
      <c r="AZ39" s="22">
        <v>3028</v>
      </c>
      <c r="BA39" s="22">
        <v>4278</v>
      </c>
      <c r="BB39" s="22">
        <v>68650</v>
      </c>
      <c r="BC39" s="22">
        <v>103948</v>
      </c>
      <c r="BD39" s="22">
        <v>146873</v>
      </c>
      <c r="BE39" s="22">
        <v>6.97</v>
      </c>
      <c r="BF39" s="22">
        <v>8.06</v>
      </c>
      <c r="BG39" s="22">
        <v>9.6</v>
      </c>
      <c r="BH39" s="22">
        <v>1.1499999999999999</v>
      </c>
    </row>
    <row r="40" spans="1:60" ht="24" customHeight="1" thickBot="1" x14ac:dyDescent="0.25">
      <c r="A40" s="2" t="s">
        <v>6</v>
      </c>
      <c r="B40" s="2" t="s">
        <v>167</v>
      </c>
      <c r="C40" s="2">
        <f>I1</f>
        <v>16300</v>
      </c>
      <c r="D40" s="2">
        <v>6.47</v>
      </c>
      <c r="E40" s="2">
        <v>7.49</v>
      </c>
      <c r="F40" s="2">
        <v>8.92</v>
      </c>
      <c r="G40" s="4">
        <v>6.25</v>
      </c>
      <c r="H40" s="4">
        <v>7.27</v>
      </c>
      <c r="I40" s="4">
        <v>8.6999999999999993</v>
      </c>
      <c r="J40" s="5">
        <f t="shared" si="17"/>
        <v>38203.125</v>
      </c>
      <c r="K40" s="5">
        <f t="shared" si="18"/>
        <v>69086.082999999999</v>
      </c>
      <c r="L40" s="5">
        <f t="shared" si="19"/>
        <v>106357.49999999999</v>
      </c>
      <c r="M40" s="2">
        <v>0</v>
      </c>
      <c r="N40" s="2">
        <v>11</v>
      </c>
      <c r="O40" s="5">
        <f t="shared" si="3"/>
        <v>11</v>
      </c>
      <c r="P40" s="2" t="s">
        <v>212</v>
      </c>
      <c r="Q40" s="2" t="s">
        <v>210</v>
      </c>
      <c r="R40" s="2" t="s">
        <v>207</v>
      </c>
      <c r="S40" s="35">
        <v>1.07</v>
      </c>
      <c r="T40" s="35">
        <v>0</v>
      </c>
      <c r="U40" s="34">
        <f t="shared" si="4"/>
        <v>1.07</v>
      </c>
      <c r="V40" s="2">
        <v>30000</v>
      </c>
      <c r="W40" s="2">
        <v>0</v>
      </c>
      <c r="X40" s="4">
        <f t="shared" si="5"/>
        <v>32100.000000000004</v>
      </c>
      <c r="Y40" s="4">
        <f t="shared" si="6"/>
        <v>0</v>
      </c>
      <c r="Z40" s="4">
        <f t="shared" si="7"/>
        <v>32100.000000000004</v>
      </c>
      <c r="AA40" s="5">
        <f t="shared" si="8"/>
        <v>9375</v>
      </c>
      <c r="AB40" s="5">
        <f t="shared" si="9"/>
        <v>10905</v>
      </c>
      <c r="AC40" s="4">
        <f t="shared" si="10"/>
        <v>13049.999999999998</v>
      </c>
      <c r="AD40" s="5">
        <f t="shared" si="11"/>
        <v>2390.34375</v>
      </c>
      <c r="AE40" s="5">
        <f t="shared" si="12"/>
        <v>3362.7324899999999</v>
      </c>
      <c r="AF40" s="5">
        <f t="shared" si="13"/>
        <v>4545.2249999999995</v>
      </c>
      <c r="AG40" s="5">
        <f t="shared" si="14"/>
        <v>82068.46875</v>
      </c>
      <c r="AH40" s="5">
        <f t="shared" si="15"/>
        <v>115453.81548999999</v>
      </c>
      <c r="AI40" s="5">
        <f t="shared" si="16"/>
        <v>156052.72500000001</v>
      </c>
      <c r="AK40" s="16" t="s">
        <v>165</v>
      </c>
      <c r="AL40" s="16" t="s">
        <v>166</v>
      </c>
      <c r="AM40" s="22" t="s">
        <v>167</v>
      </c>
      <c r="AN40" s="22">
        <v>6.25</v>
      </c>
      <c r="AO40" s="22">
        <v>7.27</v>
      </c>
      <c r="AP40" s="22">
        <v>8.6999999999999993</v>
      </c>
      <c r="AQ40" s="22">
        <v>16000</v>
      </c>
      <c r="AR40" s="22">
        <v>37500</v>
      </c>
      <c r="AS40" s="22">
        <v>67849</v>
      </c>
      <c r="AT40" s="22">
        <v>104400</v>
      </c>
      <c r="AU40" s="22">
        <v>26400</v>
      </c>
      <c r="AV40" s="22">
        <v>9375</v>
      </c>
      <c r="AW40" s="22">
        <v>10905</v>
      </c>
      <c r="AX40" s="22">
        <v>13050</v>
      </c>
      <c r="AY40" s="22">
        <v>2198</v>
      </c>
      <c r="AZ40" s="22">
        <v>3155</v>
      </c>
      <c r="BA40" s="22">
        <v>4316</v>
      </c>
      <c r="BB40" s="22">
        <v>75473</v>
      </c>
      <c r="BC40" s="22">
        <v>108309</v>
      </c>
      <c r="BD40" s="22">
        <v>148166</v>
      </c>
      <c r="BE40" s="22">
        <v>6.47</v>
      </c>
      <c r="BF40" s="22">
        <v>7.49</v>
      </c>
      <c r="BG40" s="22">
        <v>8.92</v>
      </c>
      <c r="BH40" s="22">
        <v>1.1000000000000001</v>
      </c>
    </row>
    <row r="41" spans="1:60" ht="24" customHeight="1" thickBot="1" x14ac:dyDescent="0.25">
      <c r="A41" s="2" t="s">
        <v>6</v>
      </c>
      <c r="B41" s="2" t="s">
        <v>170</v>
      </c>
      <c r="C41" s="2">
        <f>I1</f>
        <v>16300</v>
      </c>
      <c r="D41" s="2">
        <v>1.6</v>
      </c>
      <c r="E41" s="2">
        <v>1.82</v>
      </c>
      <c r="F41" s="2">
        <v>2.14</v>
      </c>
      <c r="G41" s="4">
        <v>1.4</v>
      </c>
      <c r="H41" s="4">
        <v>1.62</v>
      </c>
      <c r="I41" s="4">
        <v>1.94</v>
      </c>
      <c r="J41" s="5">
        <f t="shared" si="17"/>
        <v>8557.5</v>
      </c>
      <c r="K41" s="5">
        <f t="shared" si="18"/>
        <v>15394.698</v>
      </c>
      <c r="L41" s="5">
        <f t="shared" si="19"/>
        <v>23716.5</v>
      </c>
      <c r="M41" s="2">
        <v>0</v>
      </c>
      <c r="N41" s="2">
        <v>33</v>
      </c>
      <c r="O41" s="5">
        <f t="shared" si="3"/>
        <v>33</v>
      </c>
      <c r="P41" s="2" t="s">
        <v>211</v>
      </c>
      <c r="Q41" s="2" t="s">
        <v>210</v>
      </c>
      <c r="R41" s="2" t="s">
        <v>207</v>
      </c>
      <c r="S41" s="35">
        <v>0.99</v>
      </c>
      <c r="T41" s="35">
        <v>0</v>
      </c>
      <c r="U41" s="34">
        <f t="shared" si="4"/>
        <v>0.99</v>
      </c>
      <c r="V41" s="2">
        <v>27000</v>
      </c>
      <c r="W41" s="2">
        <v>0</v>
      </c>
      <c r="X41" s="4">
        <f t="shared" si="5"/>
        <v>26730</v>
      </c>
      <c r="Y41" s="4">
        <f t="shared" si="6"/>
        <v>0</v>
      </c>
      <c r="Z41" s="4">
        <f t="shared" si="7"/>
        <v>26730</v>
      </c>
      <c r="AA41" s="5">
        <f t="shared" si="8"/>
        <v>2100</v>
      </c>
      <c r="AB41" s="5">
        <f t="shared" si="9"/>
        <v>2430</v>
      </c>
      <c r="AC41" s="4">
        <f t="shared" si="10"/>
        <v>2910</v>
      </c>
      <c r="AD41" s="5">
        <f t="shared" si="11"/>
        <v>1121.625</v>
      </c>
      <c r="AE41" s="5">
        <f t="shared" si="12"/>
        <v>1336.64094</v>
      </c>
      <c r="AF41" s="5">
        <f t="shared" si="13"/>
        <v>1600.6949999999999</v>
      </c>
      <c r="AG41" s="5">
        <f t="shared" si="14"/>
        <v>38509.125</v>
      </c>
      <c r="AH41" s="5">
        <f t="shared" si="15"/>
        <v>45891.338940000001</v>
      </c>
      <c r="AI41" s="5">
        <f t="shared" si="16"/>
        <v>54957.195</v>
      </c>
      <c r="AK41" s="16" t="s">
        <v>168</v>
      </c>
      <c r="AL41" s="16" t="s">
        <v>169</v>
      </c>
      <c r="AM41" s="22" t="s">
        <v>170</v>
      </c>
      <c r="AN41" s="22">
        <v>1.4</v>
      </c>
      <c r="AO41" s="22">
        <v>1.62</v>
      </c>
      <c r="AP41" s="22">
        <v>1.94</v>
      </c>
      <c r="AQ41" s="22">
        <v>16000</v>
      </c>
      <c r="AR41" s="22">
        <v>8400</v>
      </c>
      <c r="AS41" s="22">
        <v>15119</v>
      </c>
      <c r="AT41" s="22">
        <v>23280</v>
      </c>
      <c r="AU41" s="22">
        <v>10400</v>
      </c>
      <c r="AV41" s="22">
        <v>2100</v>
      </c>
      <c r="AW41" s="22">
        <v>2430</v>
      </c>
      <c r="AX41" s="22">
        <v>2910</v>
      </c>
      <c r="AY41" s="22">
        <v>627</v>
      </c>
      <c r="AZ41" s="22">
        <v>838</v>
      </c>
      <c r="BA41" s="22">
        <v>1098</v>
      </c>
      <c r="BB41" s="22">
        <v>21527</v>
      </c>
      <c r="BC41" s="22">
        <v>28788</v>
      </c>
      <c r="BD41" s="22">
        <v>37688</v>
      </c>
      <c r="BE41" s="22">
        <v>1.6</v>
      </c>
      <c r="BF41" s="22">
        <v>1.82</v>
      </c>
      <c r="BG41" s="22">
        <v>2.14</v>
      </c>
      <c r="BH41" s="22">
        <v>0.99</v>
      </c>
    </row>
    <row r="42" spans="1:60" ht="24" customHeight="1" thickBot="1" x14ac:dyDescent="0.25">
      <c r="A42" s="2" t="s">
        <v>6</v>
      </c>
      <c r="B42" s="2" t="s">
        <v>173</v>
      </c>
      <c r="C42" s="2">
        <f>I1</f>
        <v>16300</v>
      </c>
      <c r="D42" s="2">
        <v>2.0920000000000001</v>
      </c>
      <c r="E42" s="2">
        <v>2.4220000000000002</v>
      </c>
      <c r="F42" s="2">
        <v>2.8919999999999999</v>
      </c>
      <c r="G42" s="4">
        <v>2.0499999999999998</v>
      </c>
      <c r="H42" s="4">
        <v>2.38</v>
      </c>
      <c r="I42" s="4">
        <v>2.85</v>
      </c>
      <c r="J42" s="5">
        <f t="shared" si="17"/>
        <v>12530.624999999998</v>
      </c>
      <c r="K42" s="5">
        <f t="shared" si="18"/>
        <v>22616.901999999998</v>
      </c>
      <c r="L42" s="5">
        <f t="shared" si="19"/>
        <v>34841.25</v>
      </c>
      <c r="M42" s="2">
        <v>0</v>
      </c>
      <c r="N42" s="2">
        <v>11</v>
      </c>
      <c r="O42" s="5">
        <f t="shared" si="3"/>
        <v>11</v>
      </c>
      <c r="P42" s="2" t="s">
        <v>211</v>
      </c>
      <c r="Q42" s="2" t="s">
        <v>210</v>
      </c>
      <c r="R42" s="2" t="s">
        <v>207</v>
      </c>
      <c r="S42" s="35">
        <v>0.19800000000000001</v>
      </c>
      <c r="T42" s="35">
        <v>0</v>
      </c>
      <c r="U42" s="34">
        <f t="shared" si="4"/>
        <v>0.19800000000000001</v>
      </c>
      <c r="V42" s="2">
        <v>27000</v>
      </c>
      <c r="W42" s="2">
        <v>0</v>
      </c>
      <c r="X42" s="4">
        <f t="shared" si="5"/>
        <v>5346</v>
      </c>
      <c r="Y42" s="4">
        <f t="shared" si="6"/>
        <v>0</v>
      </c>
      <c r="Z42" s="4">
        <f t="shared" si="7"/>
        <v>5346</v>
      </c>
      <c r="AA42" s="5">
        <f t="shared" si="8"/>
        <v>3074.9999999999995</v>
      </c>
      <c r="AB42" s="5">
        <f t="shared" si="9"/>
        <v>3570</v>
      </c>
      <c r="AC42" s="4">
        <f t="shared" si="10"/>
        <v>4275</v>
      </c>
      <c r="AD42" s="5">
        <f t="shared" si="11"/>
        <v>628.54874999999993</v>
      </c>
      <c r="AE42" s="5">
        <f t="shared" si="12"/>
        <v>945.98705999999993</v>
      </c>
      <c r="AF42" s="5">
        <f t="shared" si="13"/>
        <v>1333.8675000000001</v>
      </c>
      <c r="AG42" s="5">
        <f t="shared" si="14"/>
        <v>21580.173750000002</v>
      </c>
      <c r="AH42" s="5">
        <f t="shared" si="15"/>
        <v>32478.889059999998</v>
      </c>
      <c r="AI42" s="5">
        <f t="shared" si="16"/>
        <v>45796.1175</v>
      </c>
      <c r="AK42" s="16" t="s">
        <v>171</v>
      </c>
      <c r="AL42" s="16" t="s">
        <v>172</v>
      </c>
      <c r="AM42" s="22" t="s">
        <v>173</v>
      </c>
      <c r="AN42" s="22">
        <v>2.0499999999999998</v>
      </c>
      <c r="AO42" s="22">
        <v>2.38</v>
      </c>
      <c r="AP42" s="22">
        <v>2.85</v>
      </c>
      <c r="AQ42" s="22">
        <v>16000</v>
      </c>
      <c r="AR42" s="22">
        <v>12300</v>
      </c>
      <c r="AS42" s="22">
        <v>22212</v>
      </c>
      <c r="AT42" s="22">
        <v>34200</v>
      </c>
      <c r="AU42" s="22">
        <v>4180</v>
      </c>
      <c r="AV42" s="22">
        <v>3075</v>
      </c>
      <c r="AW42" s="22">
        <v>3570</v>
      </c>
      <c r="AX42" s="22">
        <v>4275</v>
      </c>
      <c r="AY42" s="22">
        <v>587</v>
      </c>
      <c r="AZ42" s="22">
        <v>899</v>
      </c>
      <c r="BA42" s="22">
        <v>1280</v>
      </c>
      <c r="BB42" s="22">
        <v>20142</v>
      </c>
      <c r="BC42" s="22">
        <v>30861</v>
      </c>
      <c r="BD42" s="22">
        <v>43935</v>
      </c>
      <c r="BE42" s="22">
        <v>2.0920000000000001</v>
      </c>
      <c r="BF42" s="22">
        <v>2.4220000000000002</v>
      </c>
      <c r="BG42" s="22">
        <v>2.8919999999999999</v>
      </c>
      <c r="BH42" s="22">
        <v>0.20899999999999999</v>
      </c>
    </row>
    <row r="43" spans="1:60" ht="24" customHeight="1" thickBot="1" x14ac:dyDescent="0.25">
      <c r="A43" s="2" t="s">
        <v>6</v>
      </c>
      <c r="B43" s="2" t="s">
        <v>170</v>
      </c>
      <c r="C43" s="2">
        <f>I1</f>
        <v>16300</v>
      </c>
      <c r="D43" s="2">
        <v>1.3129999999999999</v>
      </c>
      <c r="E43" s="2">
        <v>1.51</v>
      </c>
      <c r="F43" s="2">
        <v>1.76</v>
      </c>
      <c r="G43" s="4">
        <v>1.113</v>
      </c>
      <c r="H43" s="4">
        <v>1.31</v>
      </c>
      <c r="I43" s="4">
        <v>1.56</v>
      </c>
      <c r="J43" s="5">
        <f t="shared" si="17"/>
        <v>6803.2124999999996</v>
      </c>
      <c r="K43" s="5">
        <f t="shared" si="18"/>
        <v>12448.799000000001</v>
      </c>
      <c r="L43" s="5">
        <f t="shared" si="19"/>
        <v>19071</v>
      </c>
      <c r="M43" s="2"/>
      <c r="N43" s="2"/>
      <c r="O43" s="5">
        <f t="shared" si="3"/>
        <v>0</v>
      </c>
      <c r="P43" s="2"/>
      <c r="Q43" s="2"/>
      <c r="R43" s="2"/>
      <c r="S43" s="35"/>
      <c r="T43" s="35"/>
      <c r="U43" s="34">
        <f t="shared" si="4"/>
        <v>0</v>
      </c>
      <c r="V43" s="2"/>
      <c r="W43" s="2"/>
      <c r="X43" s="4">
        <f t="shared" si="5"/>
        <v>0</v>
      </c>
      <c r="Y43" s="4">
        <f t="shared" si="6"/>
        <v>0</v>
      </c>
      <c r="Z43" s="4">
        <f t="shared" si="7"/>
        <v>0</v>
      </c>
      <c r="AA43" s="5">
        <f t="shared" si="8"/>
        <v>1669.5</v>
      </c>
      <c r="AB43" s="5">
        <f t="shared" si="9"/>
        <v>1965</v>
      </c>
      <c r="AC43" s="4">
        <f t="shared" si="10"/>
        <v>2340</v>
      </c>
      <c r="AD43" s="5">
        <f t="shared" si="11"/>
        <v>254.18137499999997</v>
      </c>
      <c r="AE43" s="5">
        <f t="shared" si="12"/>
        <v>432.41397000000001</v>
      </c>
      <c r="AF43" s="5">
        <f t="shared" si="13"/>
        <v>642.32999999999993</v>
      </c>
      <c r="AG43" s="5">
        <f t="shared" si="14"/>
        <v>8726.8938749999998</v>
      </c>
      <c r="AH43" s="5">
        <f t="shared" si="15"/>
        <v>14846.21297</v>
      </c>
      <c r="AI43" s="5">
        <f t="shared" si="16"/>
        <v>22053.33</v>
      </c>
      <c r="AK43" s="16" t="s">
        <v>168</v>
      </c>
      <c r="AL43" s="16" t="s">
        <v>169</v>
      </c>
      <c r="AM43" s="22" t="s">
        <v>170</v>
      </c>
      <c r="AN43" s="22">
        <v>1.113</v>
      </c>
      <c r="AO43" s="22">
        <v>1.31</v>
      </c>
      <c r="AP43" s="22">
        <v>1.56</v>
      </c>
      <c r="AQ43" s="22">
        <v>16000</v>
      </c>
      <c r="AR43" s="22">
        <v>6678</v>
      </c>
      <c r="AS43" s="22">
        <v>12226</v>
      </c>
      <c r="AT43" s="22">
        <v>18720</v>
      </c>
      <c r="AU43" s="22">
        <v>10400</v>
      </c>
      <c r="AV43" s="22">
        <v>1670</v>
      </c>
      <c r="AW43" s="22">
        <v>1965</v>
      </c>
      <c r="AX43" s="22">
        <v>2340</v>
      </c>
      <c r="AY43" s="22">
        <v>562</v>
      </c>
      <c r="AZ43" s="22">
        <v>738</v>
      </c>
      <c r="BA43" s="22">
        <v>944</v>
      </c>
      <c r="BB43" s="22">
        <v>19310</v>
      </c>
      <c r="BC43" s="22">
        <v>25329</v>
      </c>
      <c r="BD43" s="22">
        <v>32404</v>
      </c>
      <c r="BE43" s="22">
        <v>1.3129999999999999</v>
      </c>
      <c r="BF43" s="22">
        <v>1.51</v>
      </c>
      <c r="BG43" s="22">
        <v>1.76</v>
      </c>
      <c r="BH43" s="22">
        <v>0.99</v>
      </c>
    </row>
    <row r="44" spans="1:60" ht="24" customHeight="1" thickBot="1" x14ac:dyDescent="0.25">
      <c r="A44" s="2" t="s">
        <v>6</v>
      </c>
      <c r="B44" s="2" t="s">
        <v>176</v>
      </c>
      <c r="C44" s="2">
        <f>I1</f>
        <v>16300</v>
      </c>
      <c r="D44" s="2">
        <v>1.427</v>
      </c>
      <c r="E44" s="2">
        <v>1.647</v>
      </c>
      <c r="F44" s="2">
        <v>1.9670000000000001</v>
      </c>
      <c r="G44" s="4">
        <v>1.4</v>
      </c>
      <c r="H44" s="4">
        <v>1.62</v>
      </c>
      <c r="I44" s="4">
        <v>1.94</v>
      </c>
      <c r="J44" s="5">
        <f t="shared" si="17"/>
        <v>8557.5</v>
      </c>
      <c r="K44" s="5">
        <f t="shared" si="18"/>
        <v>15394.698</v>
      </c>
      <c r="L44" s="5">
        <f t="shared" si="19"/>
        <v>23716.5</v>
      </c>
      <c r="M44" s="2">
        <v>0</v>
      </c>
      <c r="N44" s="2">
        <v>9</v>
      </c>
      <c r="O44" s="5">
        <f t="shared" si="3"/>
        <v>9</v>
      </c>
      <c r="P44" s="2" t="s">
        <v>211</v>
      </c>
      <c r="Q44" s="2" t="s">
        <v>210</v>
      </c>
      <c r="R44" s="2" t="s">
        <v>207</v>
      </c>
      <c r="S44" s="35">
        <v>0.11</v>
      </c>
      <c r="T44" s="35">
        <v>0</v>
      </c>
      <c r="U44" s="34">
        <f t="shared" si="4"/>
        <v>0.11</v>
      </c>
      <c r="V44" s="2">
        <v>27000</v>
      </c>
      <c r="W44" s="2">
        <v>0</v>
      </c>
      <c r="X44" s="4">
        <f t="shared" si="5"/>
        <v>2970</v>
      </c>
      <c r="Y44" s="4">
        <f t="shared" si="6"/>
        <v>0</v>
      </c>
      <c r="Z44" s="4">
        <f t="shared" si="7"/>
        <v>2970</v>
      </c>
      <c r="AA44" s="5">
        <f t="shared" si="8"/>
        <v>2100</v>
      </c>
      <c r="AB44" s="5">
        <f t="shared" si="9"/>
        <v>2430</v>
      </c>
      <c r="AC44" s="4">
        <f t="shared" si="10"/>
        <v>2910</v>
      </c>
      <c r="AD44" s="5">
        <f t="shared" si="11"/>
        <v>408.82499999999999</v>
      </c>
      <c r="AE44" s="5">
        <f t="shared" si="12"/>
        <v>623.84093999999993</v>
      </c>
      <c r="AF44" s="5">
        <f t="shared" si="13"/>
        <v>887.89499999999998</v>
      </c>
      <c r="AG44" s="5">
        <f t="shared" si="14"/>
        <v>14036.325000000001</v>
      </c>
      <c r="AH44" s="5">
        <f t="shared" si="15"/>
        <v>21418.538939999999</v>
      </c>
      <c r="AI44" s="5">
        <f t="shared" si="16"/>
        <v>30484.395</v>
      </c>
      <c r="AK44" s="16" t="s">
        <v>174</v>
      </c>
      <c r="AL44" s="16" t="s">
        <v>175</v>
      </c>
      <c r="AM44" s="22" t="s">
        <v>176</v>
      </c>
      <c r="AN44" s="22">
        <v>1.4</v>
      </c>
      <c r="AO44" s="22">
        <v>1.62</v>
      </c>
      <c r="AP44" s="22">
        <v>1.94</v>
      </c>
      <c r="AQ44" s="22">
        <v>16000</v>
      </c>
      <c r="AR44" s="22">
        <v>8400</v>
      </c>
      <c r="AS44" s="22">
        <v>15119</v>
      </c>
      <c r="AT44" s="22">
        <v>23280</v>
      </c>
      <c r="AU44" s="22">
        <v>2430</v>
      </c>
      <c r="AV44" s="22">
        <v>2100</v>
      </c>
      <c r="AW44" s="22">
        <v>2430</v>
      </c>
      <c r="AX44" s="22">
        <v>2910</v>
      </c>
      <c r="AY44" s="22">
        <v>388</v>
      </c>
      <c r="AZ44" s="22">
        <v>599</v>
      </c>
      <c r="BA44" s="22">
        <v>859</v>
      </c>
      <c r="BB44" s="22">
        <v>13318</v>
      </c>
      <c r="BC44" s="22">
        <v>20579</v>
      </c>
      <c r="BD44" s="22">
        <v>29479</v>
      </c>
      <c r="BE44" s="22">
        <v>1.427</v>
      </c>
      <c r="BF44" s="22">
        <v>1.647</v>
      </c>
      <c r="BG44" s="22">
        <v>1.9670000000000001</v>
      </c>
      <c r="BH44" s="22">
        <v>0.13500000000000001</v>
      </c>
    </row>
    <row r="45" spans="1:60" ht="24" customHeight="1" thickBot="1" x14ac:dyDescent="0.25">
      <c r="A45" s="2" t="s">
        <v>6</v>
      </c>
      <c r="B45" s="2" t="s">
        <v>179</v>
      </c>
      <c r="C45" s="2">
        <f>I1</f>
        <v>16300</v>
      </c>
      <c r="D45" s="2">
        <v>2.5720000000000001</v>
      </c>
      <c r="E45" s="2">
        <v>2.9620000000000002</v>
      </c>
      <c r="F45" s="2">
        <v>3.4620000000000002</v>
      </c>
      <c r="G45" s="4">
        <v>2.36</v>
      </c>
      <c r="H45" s="4">
        <v>2.75</v>
      </c>
      <c r="I45" s="4">
        <v>3.25</v>
      </c>
      <c r="J45" s="5">
        <f t="shared" si="17"/>
        <v>14425.5</v>
      </c>
      <c r="K45" s="5">
        <f t="shared" si="18"/>
        <v>26132.974999999999</v>
      </c>
      <c r="L45" s="5">
        <f t="shared" si="19"/>
        <v>39731.25</v>
      </c>
      <c r="M45" s="2">
        <v>0</v>
      </c>
      <c r="N45" s="2">
        <v>3</v>
      </c>
      <c r="O45" s="5">
        <f t="shared" si="3"/>
        <v>3</v>
      </c>
      <c r="P45" s="2" t="s">
        <v>206</v>
      </c>
      <c r="Q45" s="2" t="s">
        <v>210</v>
      </c>
      <c r="R45" s="2" t="s">
        <v>207</v>
      </c>
      <c r="S45" s="35">
        <v>1.06</v>
      </c>
      <c r="T45" s="35">
        <v>0</v>
      </c>
      <c r="U45" s="34">
        <f t="shared" si="4"/>
        <v>1.06</v>
      </c>
      <c r="V45" s="2">
        <v>33000</v>
      </c>
      <c r="W45" s="2">
        <v>0</v>
      </c>
      <c r="X45" s="4">
        <f t="shared" si="5"/>
        <v>34980</v>
      </c>
      <c r="Y45" s="4">
        <f t="shared" si="6"/>
        <v>0</v>
      </c>
      <c r="Z45" s="4">
        <f t="shared" si="7"/>
        <v>34980</v>
      </c>
      <c r="AA45" s="5">
        <f t="shared" si="8"/>
        <v>3540</v>
      </c>
      <c r="AB45" s="5">
        <f t="shared" si="9"/>
        <v>4125</v>
      </c>
      <c r="AC45" s="4">
        <f t="shared" si="10"/>
        <v>4875</v>
      </c>
      <c r="AD45" s="5">
        <f t="shared" si="11"/>
        <v>1588.365</v>
      </c>
      <c r="AE45" s="5">
        <f t="shared" si="12"/>
        <v>1957.1392499999999</v>
      </c>
      <c r="AF45" s="5">
        <f t="shared" si="13"/>
        <v>2387.5875000000001</v>
      </c>
      <c r="AG45" s="5">
        <f t="shared" si="14"/>
        <v>54533.864999999998</v>
      </c>
      <c r="AH45" s="5">
        <f t="shared" si="15"/>
        <v>67195.114249999999</v>
      </c>
      <c r="AI45" s="5">
        <f t="shared" si="16"/>
        <v>81973.837499999994</v>
      </c>
      <c r="AK45" s="16" t="s">
        <v>177</v>
      </c>
      <c r="AL45" s="16" t="s">
        <v>178</v>
      </c>
      <c r="AM45" s="22" t="s">
        <v>179</v>
      </c>
      <c r="AN45" s="22">
        <v>2.36</v>
      </c>
      <c r="AO45" s="22">
        <v>2.75</v>
      </c>
      <c r="AP45" s="22">
        <v>3.25</v>
      </c>
      <c r="AQ45" s="22">
        <v>16000</v>
      </c>
      <c r="AR45" s="22">
        <v>14160</v>
      </c>
      <c r="AS45" s="22">
        <v>25665</v>
      </c>
      <c r="AT45" s="22">
        <v>39000</v>
      </c>
      <c r="AU45" s="22">
        <v>23850</v>
      </c>
      <c r="AV45" s="22">
        <v>3540</v>
      </c>
      <c r="AW45" s="22">
        <v>4125</v>
      </c>
      <c r="AX45" s="22">
        <v>4875</v>
      </c>
      <c r="AY45" s="22">
        <v>1247</v>
      </c>
      <c r="AZ45" s="22">
        <v>1609</v>
      </c>
      <c r="BA45" s="22">
        <v>2032</v>
      </c>
      <c r="BB45" s="22">
        <v>42797</v>
      </c>
      <c r="BC45" s="22">
        <v>55249</v>
      </c>
      <c r="BD45" s="22">
        <v>69757</v>
      </c>
      <c r="BE45" s="22">
        <v>2.5720000000000001</v>
      </c>
      <c r="BF45" s="22">
        <v>2.9620000000000002</v>
      </c>
      <c r="BG45" s="22">
        <v>3.4620000000000002</v>
      </c>
      <c r="BH45" s="22">
        <v>1.06</v>
      </c>
    </row>
    <row r="46" spans="1:60" ht="24" customHeight="1" thickBot="1" x14ac:dyDescent="0.25">
      <c r="A46" s="2" t="s">
        <v>6</v>
      </c>
      <c r="B46" s="2" t="s">
        <v>182</v>
      </c>
      <c r="C46" s="2">
        <f>I1</f>
        <v>16300</v>
      </c>
      <c r="D46" s="2">
        <v>2.8820000000000001</v>
      </c>
      <c r="E46" s="2">
        <v>3.2919999999999998</v>
      </c>
      <c r="F46" s="2">
        <v>3.8820000000000001</v>
      </c>
      <c r="G46" s="4">
        <v>2.57</v>
      </c>
      <c r="H46" s="4">
        <v>2.98</v>
      </c>
      <c r="I46" s="4">
        <v>3.57</v>
      </c>
      <c r="J46" s="5">
        <f t="shared" si="17"/>
        <v>15709.124999999998</v>
      </c>
      <c r="K46" s="5">
        <f t="shared" si="18"/>
        <v>28318.642</v>
      </c>
      <c r="L46" s="5">
        <f t="shared" si="19"/>
        <v>43643.25</v>
      </c>
      <c r="M46" s="2">
        <v>0</v>
      </c>
      <c r="N46" s="2">
        <v>8</v>
      </c>
      <c r="O46" s="5">
        <f t="shared" si="3"/>
        <v>8</v>
      </c>
      <c r="P46" s="2" t="s">
        <v>206</v>
      </c>
      <c r="Q46" s="2" t="s">
        <v>211</v>
      </c>
      <c r="R46" s="2" t="s">
        <v>207</v>
      </c>
      <c r="S46" s="35">
        <v>0.93</v>
      </c>
      <c r="T46" s="35">
        <v>0.06</v>
      </c>
      <c r="U46" s="34">
        <f t="shared" si="4"/>
        <v>0.99</v>
      </c>
      <c r="V46" s="2">
        <v>30000</v>
      </c>
      <c r="W46" s="2">
        <v>27000</v>
      </c>
      <c r="X46" s="4">
        <f t="shared" si="5"/>
        <v>27900</v>
      </c>
      <c r="Y46" s="4">
        <f t="shared" si="6"/>
        <v>1620</v>
      </c>
      <c r="Z46" s="4">
        <f t="shared" si="7"/>
        <v>29520</v>
      </c>
      <c r="AA46" s="5">
        <f t="shared" si="8"/>
        <v>3854.9999999999995</v>
      </c>
      <c r="AB46" s="5">
        <f t="shared" si="9"/>
        <v>4470</v>
      </c>
      <c r="AC46" s="4">
        <f t="shared" si="10"/>
        <v>5355</v>
      </c>
      <c r="AD46" s="5">
        <f t="shared" si="11"/>
        <v>1472.5237499999998</v>
      </c>
      <c r="AE46" s="5">
        <f t="shared" si="12"/>
        <v>1869.2592599999998</v>
      </c>
      <c r="AF46" s="5">
        <f t="shared" si="13"/>
        <v>2355.5475000000001</v>
      </c>
      <c r="AG46" s="5">
        <f t="shared" si="14"/>
        <v>50556.64875</v>
      </c>
      <c r="AH46" s="5">
        <f t="shared" si="15"/>
        <v>64177.901259999999</v>
      </c>
      <c r="AI46" s="5">
        <f t="shared" si="16"/>
        <v>80873.797500000001</v>
      </c>
      <c r="AK46" s="16" t="s">
        <v>180</v>
      </c>
      <c r="AL46" s="16" t="s">
        <v>181</v>
      </c>
      <c r="AM46" s="22" t="s">
        <v>182</v>
      </c>
      <c r="AN46" s="22">
        <v>2.57</v>
      </c>
      <c r="AO46" s="22">
        <v>2.98</v>
      </c>
      <c r="AP46" s="22">
        <v>3.57</v>
      </c>
      <c r="AQ46" s="22">
        <v>16000</v>
      </c>
      <c r="AR46" s="22">
        <v>15420</v>
      </c>
      <c r="AS46" s="22">
        <v>27812</v>
      </c>
      <c r="AT46" s="22">
        <v>42840</v>
      </c>
      <c r="AU46" s="22">
        <v>34470</v>
      </c>
      <c r="AV46" s="22">
        <v>3855</v>
      </c>
      <c r="AW46" s="22">
        <v>4470</v>
      </c>
      <c r="AX46" s="22">
        <v>5355</v>
      </c>
      <c r="AY46" s="22">
        <v>1612</v>
      </c>
      <c r="AZ46" s="22">
        <v>2003</v>
      </c>
      <c r="BA46" s="22">
        <v>2480</v>
      </c>
      <c r="BB46" s="22">
        <v>55357</v>
      </c>
      <c r="BC46" s="22">
        <v>68754</v>
      </c>
      <c r="BD46" s="22">
        <v>85145</v>
      </c>
      <c r="BE46" s="22">
        <v>2.8820000000000001</v>
      </c>
      <c r="BF46" s="22">
        <v>3.2919999999999998</v>
      </c>
      <c r="BG46" s="22">
        <v>3.8820000000000001</v>
      </c>
      <c r="BH46" s="22">
        <v>1.56</v>
      </c>
    </row>
    <row r="47" spans="1:60" ht="24" customHeight="1" thickBot="1" x14ac:dyDescent="0.25">
      <c r="A47" s="2" t="s">
        <v>6</v>
      </c>
      <c r="B47" s="2" t="s">
        <v>185</v>
      </c>
      <c r="C47" s="2">
        <f>I1</f>
        <v>16300</v>
      </c>
      <c r="D47" s="2">
        <v>5.734</v>
      </c>
      <c r="E47" s="2">
        <v>6.5839999999999996</v>
      </c>
      <c r="F47" s="2">
        <v>7.774</v>
      </c>
      <c r="G47" s="4">
        <v>5.21</v>
      </c>
      <c r="H47" s="4">
        <v>6.06</v>
      </c>
      <c r="I47" s="4">
        <v>7.25</v>
      </c>
      <c r="J47" s="5">
        <f t="shared" si="17"/>
        <v>31846.125</v>
      </c>
      <c r="K47" s="5">
        <f t="shared" si="18"/>
        <v>57587.573999999993</v>
      </c>
      <c r="L47" s="5">
        <f t="shared" si="19"/>
        <v>88631.25</v>
      </c>
      <c r="M47" s="2">
        <v>1</v>
      </c>
      <c r="N47" s="2">
        <v>17</v>
      </c>
      <c r="O47" s="5">
        <f t="shared" si="3"/>
        <v>18</v>
      </c>
      <c r="P47" s="2" t="s">
        <v>243</v>
      </c>
      <c r="Q47" s="2" t="s">
        <v>211</v>
      </c>
      <c r="R47" s="2" t="s">
        <v>207</v>
      </c>
      <c r="S47" s="35">
        <v>2.11</v>
      </c>
      <c r="T47" s="35">
        <v>0.51</v>
      </c>
      <c r="U47" s="34">
        <f t="shared" si="4"/>
        <v>2.62</v>
      </c>
      <c r="V47" s="2">
        <v>40000</v>
      </c>
      <c r="W47" s="2">
        <v>27000</v>
      </c>
      <c r="X47" s="4">
        <f t="shared" si="5"/>
        <v>84400</v>
      </c>
      <c r="Y47" s="4">
        <f t="shared" si="6"/>
        <v>13770</v>
      </c>
      <c r="Z47" s="4">
        <f t="shared" si="7"/>
        <v>98170</v>
      </c>
      <c r="AA47" s="5">
        <f t="shared" si="8"/>
        <v>7815</v>
      </c>
      <c r="AB47" s="5">
        <f t="shared" si="9"/>
        <v>9090</v>
      </c>
      <c r="AC47" s="4">
        <f t="shared" si="10"/>
        <v>10875</v>
      </c>
      <c r="AD47" s="5">
        <f t="shared" si="11"/>
        <v>4134.9337500000001</v>
      </c>
      <c r="AE47" s="5">
        <f t="shared" si="12"/>
        <v>4945.4272199999996</v>
      </c>
      <c r="AF47" s="5">
        <f t="shared" si="13"/>
        <v>5930.2874999999995</v>
      </c>
      <c r="AG47" s="5">
        <f t="shared" si="14"/>
        <v>141966.05875</v>
      </c>
      <c r="AH47" s="5">
        <f t="shared" si="15"/>
        <v>169793.00122000001</v>
      </c>
      <c r="AI47" s="5">
        <f t="shared" si="16"/>
        <v>203606.53750000001</v>
      </c>
      <c r="AK47" s="16" t="s">
        <v>183</v>
      </c>
      <c r="AL47" s="16" t="s">
        <v>184</v>
      </c>
      <c r="AM47" s="22" t="s">
        <v>185</v>
      </c>
      <c r="AN47" s="22">
        <v>5.21</v>
      </c>
      <c r="AO47" s="22">
        <v>6.06</v>
      </c>
      <c r="AP47" s="22">
        <v>7.25</v>
      </c>
      <c r="AQ47" s="22">
        <v>16000</v>
      </c>
      <c r="AR47" s="22">
        <v>31260</v>
      </c>
      <c r="AS47" s="22">
        <v>56557</v>
      </c>
      <c r="AT47" s="22">
        <v>87000</v>
      </c>
      <c r="AU47" s="22">
        <v>76567</v>
      </c>
      <c r="AV47" s="22">
        <v>7815</v>
      </c>
      <c r="AW47" s="22">
        <v>9090</v>
      </c>
      <c r="AX47" s="22">
        <v>10875</v>
      </c>
      <c r="AY47" s="22">
        <v>3469</v>
      </c>
      <c r="AZ47" s="22">
        <v>4266</v>
      </c>
      <c r="BA47" s="22">
        <v>5233</v>
      </c>
      <c r="BB47" s="22">
        <v>119111</v>
      </c>
      <c r="BC47" s="22">
        <v>146480</v>
      </c>
      <c r="BD47" s="22">
        <v>179675</v>
      </c>
      <c r="BE47" s="22">
        <v>5.734</v>
      </c>
      <c r="BF47" s="22">
        <v>6.5839999999999996</v>
      </c>
      <c r="BG47" s="22">
        <v>7.774</v>
      </c>
      <c r="BH47" s="22">
        <v>2.62</v>
      </c>
    </row>
    <row r="48" spans="1:60" s="78" customFormat="1" ht="24" customHeight="1" thickBot="1" x14ac:dyDescent="0.25">
      <c r="A48" s="66" t="s">
        <v>6</v>
      </c>
      <c r="B48" s="66" t="s">
        <v>188</v>
      </c>
      <c r="C48" s="66">
        <f>I1</f>
        <v>16300</v>
      </c>
      <c r="D48" s="66">
        <v>1.83</v>
      </c>
      <c r="E48" s="66">
        <v>2.11</v>
      </c>
      <c r="F48" s="66">
        <v>2.5</v>
      </c>
      <c r="G48" s="67">
        <v>1.72</v>
      </c>
      <c r="H48" s="67">
        <v>2</v>
      </c>
      <c r="I48" s="67">
        <v>2.39</v>
      </c>
      <c r="J48" s="76">
        <f t="shared" si="17"/>
        <v>10513.5</v>
      </c>
      <c r="K48" s="76">
        <f t="shared" si="18"/>
        <v>19005.8</v>
      </c>
      <c r="L48" s="76">
        <f t="shared" si="19"/>
        <v>29217.75</v>
      </c>
      <c r="M48" s="66">
        <v>1</v>
      </c>
      <c r="N48" s="66">
        <v>14</v>
      </c>
      <c r="O48" s="76">
        <f t="shared" si="3"/>
        <v>15</v>
      </c>
      <c r="P48" s="66" t="s">
        <v>211</v>
      </c>
      <c r="Q48" s="66" t="s">
        <v>211</v>
      </c>
      <c r="R48" s="66" t="s">
        <v>207</v>
      </c>
      <c r="S48" s="77">
        <v>0.35</v>
      </c>
      <c r="T48" s="77">
        <v>0.2</v>
      </c>
      <c r="U48" s="75">
        <f t="shared" si="4"/>
        <v>0.55000000000000004</v>
      </c>
      <c r="V48" s="66">
        <v>33000</v>
      </c>
      <c r="W48" s="66">
        <v>27000</v>
      </c>
      <c r="X48" s="67">
        <f t="shared" si="5"/>
        <v>11550</v>
      </c>
      <c r="Y48" s="67">
        <f t="shared" si="6"/>
        <v>5400</v>
      </c>
      <c r="Z48" s="67">
        <f t="shared" si="7"/>
        <v>16950</v>
      </c>
      <c r="AA48" s="76">
        <f t="shared" si="8"/>
        <v>2580</v>
      </c>
      <c r="AB48" s="76">
        <f t="shared" si="9"/>
        <v>3000</v>
      </c>
      <c r="AC48" s="67">
        <f t="shared" si="10"/>
        <v>3585</v>
      </c>
      <c r="AD48" s="76">
        <f t="shared" si="11"/>
        <v>901.30499999999995</v>
      </c>
      <c r="AE48" s="76">
        <f t="shared" si="12"/>
        <v>1168.674</v>
      </c>
      <c r="AF48" s="76">
        <f t="shared" si="13"/>
        <v>1492.5825</v>
      </c>
      <c r="AG48" s="76">
        <f t="shared" si="14"/>
        <v>30944.805</v>
      </c>
      <c r="AH48" s="76">
        <f t="shared" si="15"/>
        <v>40124.474000000002</v>
      </c>
      <c r="AI48" s="76">
        <f t="shared" si="16"/>
        <v>51245.332499999997</v>
      </c>
      <c r="AK48" s="79" t="s">
        <v>186</v>
      </c>
      <c r="AL48" s="79" t="s">
        <v>187</v>
      </c>
      <c r="AM48" s="80" t="s">
        <v>188</v>
      </c>
      <c r="AN48" s="80">
        <v>1.72</v>
      </c>
      <c r="AO48" s="80">
        <v>2</v>
      </c>
      <c r="AP48" s="80">
        <v>2.39</v>
      </c>
      <c r="AQ48" s="80">
        <v>16000</v>
      </c>
      <c r="AR48" s="80">
        <v>10320</v>
      </c>
      <c r="AS48" s="80">
        <v>18666</v>
      </c>
      <c r="AT48" s="80">
        <v>28680</v>
      </c>
      <c r="AU48" s="80">
        <v>12375</v>
      </c>
      <c r="AV48" s="80">
        <v>2580</v>
      </c>
      <c r="AW48" s="80">
        <v>3000</v>
      </c>
      <c r="AX48" s="80">
        <v>3585</v>
      </c>
      <c r="AY48" s="80">
        <v>758</v>
      </c>
      <c r="AZ48" s="80">
        <v>1021</v>
      </c>
      <c r="BA48" s="80">
        <v>1339</v>
      </c>
      <c r="BB48" s="80">
        <v>26033</v>
      </c>
      <c r="BC48" s="80">
        <v>35062</v>
      </c>
      <c r="BD48" s="80">
        <v>45979</v>
      </c>
      <c r="BE48" s="80">
        <v>1.83</v>
      </c>
      <c r="BF48" s="80">
        <v>2.11</v>
      </c>
      <c r="BG48" s="80">
        <v>2.5</v>
      </c>
      <c r="BH48" s="80">
        <v>0.55000000000000004</v>
      </c>
    </row>
    <row r="49" spans="1:60" s="110" customFormat="1" ht="24" customHeight="1" thickBot="1" x14ac:dyDescent="0.25">
      <c r="A49" s="81" t="s">
        <v>6</v>
      </c>
      <c r="B49" s="81" t="s">
        <v>191</v>
      </c>
      <c r="C49" s="81">
        <f>I1</f>
        <v>16300</v>
      </c>
      <c r="D49" s="81">
        <v>4.0839999999999996</v>
      </c>
      <c r="E49" s="81">
        <v>4.7039999999999997</v>
      </c>
      <c r="F49" s="81">
        <v>5.5739999999999998</v>
      </c>
      <c r="G49" s="82">
        <v>3.81</v>
      </c>
      <c r="H49" s="82">
        <v>4.43</v>
      </c>
      <c r="I49" s="82">
        <v>5.3</v>
      </c>
      <c r="J49" s="108">
        <f t="shared" si="17"/>
        <v>23288.625</v>
      </c>
      <c r="K49" s="108">
        <f t="shared" si="18"/>
        <v>42097.846999999994</v>
      </c>
      <c r="L49" s="108">
        <f t="shared" si="19"/>
        <v>64792.5</v>
      </c>
      <c r="M49" s="81">
        <v>1</v>
      </c>
      <c r="N49" s="81">
        <v>6</v>
      </c>
      <c r="O49" s="108">
        <f t="shared" si="3"/>
        <v>7</v>
      </c>
      <c r="P49" s="81" t="s">
        <v>230</v>
      </c>
      <c r="Q49" s="81" t="s">
        <v>244</v>
      </c>
      <c r="R49" s="81" t="s">
        <v>207</v>
      </c>
      <c r="S49" s="109">
        <v>1.06</v>
      </c>
      <c r="T49" s="109">
        <v>0.31</v>
      </c>
      <c r="U49" s="86">
        <f t="shared" si="4"/>
        <v>1.37</v>
      </c>
      <c r="V49" s="81">
        <v>40000</v>
      </c>
      <c r="W49" s="81">
        <v>27000</v>
      </c>
      <c r="X49" s="82">
        <f t="shared" si="5"/>
        <v>42400</v>
      </c>
      <c r="Y49" s="82">
        <f t="shared" si="6"/>
        <v>8370</v>
      </c>
      <c r="Z49" s="82">
        <f t="shared" si="7"/>
        <v>50770</v>
      </c>
      <c r="AA49" s="108">
        <f t="shared" si="8"/>
        <v>5715</v>
      </c>
      <c r="AB49" s="108">
        <f t="shared" si="9"/>
        <v>6645</v>
      </c>
      <c r="AC49" s="82">
        <f t="shared" si="10"/>
        <v>7950</v>
      </c>
      <c r="AD49" s="108">
        <f t="shared" si="11"/>
        <v>2393.2087499999998</v>
      </c>
      <c r="AE49" s="108">
        <f t="shared" si="12"/>
        <v>2985.3854099999999</v>
      </c>
      <c r="AF49" s="108">
        <f t="shared" si="13"/>
        <v>3705.375</v>
      </c>
      <c r="AG49" s="108">
        <f t="shared" si="14"/>
        <v>82166.833750000005</v>
      </c>
      <c r="AH49" s="108">
        <f t="shared" si="15"/>
        <v>102498.23241</v>
      </c>
      <c r="AI49" s="108">
        <f t="shared" si="16"/>
        <v>127217.875</v>
      </c>
      <c r="AK49" s="111" t="s">
        <v>189</v>
      </c>
      <c r="AL49" s="111" t="s">
        <v>190</v>
      </c>
      <c r="AM49" s="112" t="s">
        <v>191</v>
      </c>
      <c r="AN49" s="112">
        <v>3.81</v>
      </c>
      <c r="AO49" s="112">
        <v>4.43</v>
      </c>
      <c r="AP49" s="112">
        <v>5.3</v>
      </c>
      <c r="AQ49" s="112">
        <v>16000</v>
      </c>
      <c r="AR49" s="112">
        <v>22860</v>
      </c>
      <c r="AS49" s="112">
        <v>41344</v>
      </c>
      <c r="AT49" s="112">
        <v>63600</v>
      </c>
      <c r="AU49" s="112">
        <v>39240</v>
      </c>
      <c r="AV49" s="112">
        <v>5715</v>
      </c>
      <c r="AW49" s="112">
        <v>6645</v>
      </c>
      <c r="AX49" s="112">
        <v>7950</v>
      </c>
      <c r="AY49" s="112">
        <v>2034</v>
      </c>
      <c r="AZ49" s="112">
        <v>2617</v>
      </c>
      <c r="BA49" s="112">
        <v>3324</v>
      </c>
      <c r="BB49" s="112">
        <v>69849</v>
      </c>
      <c r="BC49" s="112">
        <v>89846</v>
      </c>
      <c r="BD49" s="112">
        <v>114114</v>
      </c>
      <c r="BE49" s="112">
        <v>4.0839999999999996</v>
      </c>
      <c r="BF49" s="112">
        <v>4.7039999999999997</v>
      </c>
      <c r="BG49" s="112">
        <v>5.5739999999999998</v>
      </c>
      <c r="BH49" s="112">
        <v>1.37</v>
      </c>
    </row>
    <row r="50" spans="1:60" ht="24" customHeight="1" thickBot="1" x14ac:dyDescent="0.25">
      <c r="A50" s="2" t="s">
        <v>6</v>
      </c>
      <c r="B50" s="2" t="s">
        <v>194</v>
      </c>
      <c r="C50" s="2">
        <f>I1</f>
        <v>16300</v>
      </c>
      <c r="D50" s="2">
        <v>1.417</v>
      </c>
      <c r="E50" s="2">
        <v>1.627</v>
      </c>
      <c r="F50" s="2">
        <v>1.917</v>
      </c>
      <c r="G50" s="4">
        <v>1.28</v>
      </c>
      <c r="H50" s="4">
        <v>1.49</v>
      </c>
      <c r="I50" s="4">
        <v>1.78</v>
      </c>
      <c r="J50" s="5">
        <f t="shared" si="17"/>
        <v>7824</v>
      </c>
      <c r="K50" s="5">
        <f t="shared" si="18"/>
        <v>14159.321</v>
      </c>
      <c r="L50" s="5">
        <f t="shared" si="19"/>
        <v>21760.5</v>
      </c>
      <c r="M50" s="2">
        <v>1</v>
      </c>
      <c r="N50" s="2">
        <v>12</v>
      </c>
      <c r="O50" s="5">
        <f t="shared" si="3"/>
        <v>13</v>
      </c>
      <c r="P50" s="2" t="s">
        <v>230</v>
      </c>
      <c r="Q50" s="2" t="s">
        <v>211</v>
      </c>
      <c r="R50" s="2" t="s">
        <v>207</v>
      </c>
      <c r="S50" s="35">
        <v>0.36</v>
      </c>
      <c r="T50" s="35">
        <v>0.16</v>
      </c>
      <c r="U50" s="34">
        <f t="shared" si="4"/>
        <v>0.52</v>
      </c>
      <c r="V50" s="2">
        <v>33000</v>
      </c>
      <c r="W50" s="2">
        <v>27000</v>
      </c>
      <c r="X50" s="4">
        <f t="shared" si="5"/>
        <v>11880</v>
      </c>
      <c r="Y50" s="4">
        <f t="shared" si="6"/>
        <v>4320</v>
      </c>
      <c r="Z50" s="4">
        <f t="shared" si="7"/>
        <v>16200</v>
      </c>
      <c r="AA50" s="5">
        <f t="shared" si="8"/>
        <v>1920</v>
      </c>
      <c r="AB50" s="5">
        <f t="shared" si="9"/>
        <v>2235</v>
      </c>
      <c r="AC50" s="4">
        <f t="shared" si="10"/>
        <v>2670</v>
      </c>
      <c r="AD50" s="5">
        <f t="shared" si="11"/>
        <v>778.31999999999994</v>
      </c>
      <c r="AE50" s="5">
        <f t="shared" si="12"/>
        <v>977.82962999999995</v>
      </c>
      <c r="AF50" s="5">
        <f t="shared" si="13"/>
        <v>1218.915</v>
      </c>
      <c r="AG50" s="5">
        <f t="shared" si="14"/>
        <v>26722.32</v>
      </c>
      <c r="AH50" s="5">
        <f t="shared" si="15"/>
        <v>33572.150629999996</v>
      </c>
      <c r="AI50" s="5">
        <f t="shared" si="16"/>
        <v>41849.415000000001</v>
      </c>
      <c r="AK50" s="16" t="s">
        <v>192</v>
      </c>
      <c r="AL50" s="16" t="s">
        <v>193</v>
      </c>
      <c r="AM50" s="22" t="s">
        <v>194</v>
      </c>
      <c r="AN50" s="22">
        <v>1.28</v>
      </c>
      <c r="AO50" s="22">
        <v>1.49</v>
      </c>
      <c r="AP50" s="22">
        <v>1.78</v>
      </c>
      <c r="AQ50" s="22">
        <v>16000</v>
      </c>
      <c r="AR50" s="22">
        <v>7680</v>
      </c>
      <c r="AS50" s="22">
        <v>13906</v>
      </c>
      <c r="AT50" s="22">
        <v>21360</v>
      </c>
      <c r="AU50" s="22">
        <v>13446</v>
      </c>
      <c r="AV50" s="22">
        <v>1920</v>
      </c>
      <c r="AW50" s="22">
        <v>2235</v>
      </c>
      <c r="AX50" s="22">
        <v>2670</v>
      </c>
      <c r="AY50" s="22">
        <v>691</v>
      </c>
      <c r="AZ50" s="22">
        <v>888</v>
      </c>
      <c r="BA50" s="22">
        <v>1124</v>
      </c>
      <c r="BB50" s="22">
        <v>23737</v>
      </c>
      <c r="BC50" s="22">
        <v>30474</v>
      </c>
      <c r="BD50" s="22">
        <v>38600</v>
      </c>
      <c r="BE50" s="22">
        <v>1.417</v>
      </c>
      <c r="BF50" s="22">
        <v>1.627</v>
      </c>
      <c r="BG50" s="22">
        <v>1.917</v>
      </c>
      <c r="BH50" s="22">
        <v>0.68300000000000005</v>
      </c>
    </row>
    <row r="51" spans="1:60" ht="24" customHeight="1" thickBot="1" x14ac:dyDescent="0.25">
      <c r="A51" s="2" t="s">
        <v>215</v>
      </c>
      <c r="B51" s="2" t="s">
        <v>197</v>
      </c>
      <c r="C51" s="2">
        <f>I1</f>
        <v>16300</v>
      </c>
      <c r="D51" s="2">
        <v>1.5</v>
      </c>
      <c r="E51" s="2">
        <v>1.66</v>
      </c>
      <c r="F51" s="2">
        <v>1.89</v>
      </c>
      <c r="G51" s="4">
        <v>1</v>
      </c>
      <c r="H51" s="4">
        <v>1.1599999999999999</v>
      </c>
      <c r="I51" s="4">
        <v>1.39</v>
      </c>
      <c r="J51" s="5">
        <f t="shared" si="17"/>
        <v>6112.5</v>
      </c>
      <c r="K51" s="5">
        <f t="shared" si="18"/>
        <v>11023.364</v>
      </c>
      <c r="L51" s="5">
        <f t="shared" si="19"/>
        <v>16992.75</v>
      </c>
      <c r="M51" s="2">
        <v>2</v>
      </c>
      <c r="N51" s="2">
        <v>0</v>
      </c>
      <c r="O51" s="5">
        <f t="shared" si="3"/>
        <v>2</v>
      </c>
      <c r="P51" s="2" t="s">
        <v>212</v>
      </c>
      <c r="Q51" s="2" t="s">
        <v>210</v>
      </c>
      <c r="R51" s="2" t="s">
        <v>207</v>
      </c>
      <c r="S51" s="35">
        <v>2.39</v>
      </c>
      <c r="T51" s="35">
        <v>0</v>
      </c>
      <c r="U51" s="34">
        <f t="shared" si="4"/>
        <v>2.39</v>
      </c>
      <c r="V51" s="2">
        <v>40000</v>
      </c>
      <c r="W51" s="2">
        <v>0</v>
      </c>
      <c r="X51" s="4">
        <f t="shared" si="5"/>
        <v>95600</v>
      </c>
      <c r="Y51" s="4">
        <f t="shared" si="6"/>
        <v>0</v>
      </c>
      <c r="Z51" s="4">
        <f t="shared" si="7"/>
        <v>95600</v>
      </c>
      <c r="AA51" s="5">
        <f t="shared" si="8"/>
        <v>1500</v>
      </c>
      <c r="AB51" s="5">
        <f t="shared" si="9"/>
        <v>1739.9999999999998</v>
      </c>
      <c r="AC51" s="4">
        <f t="shared" si="10"/>
        <v>2085</v>
      </c>
      <c r="AD51" s="5">
        <f t="shared" si="11"/>
        <v>3096.375</v>
      </c>
      <c r="AE51" s="5">
        <f t="shared" si="12"/>
        <v>3250.90092</v>
      </c>
      <c r="AF51" s="5">
        <f t="shared" si="13"/>
        <v>3440.3325</v>
      </c>
      <c r="AG51" s="5">
        <f t="shared" si="14"/>
        <v>106308.875</v>
      </c>
      <c r="AH51" s="5">
        <f t="shared" si="15"/>
        <v>111614.26492</v>
      </c>
      <c r="AI51" s="5">
        <f t="shared" si="16"/>
        <v>118118.0825</v>
      </c>
      <c r="AK51" s="16" t="s">
        <v>195</v>
      </c>
      <c r="AL51" s="16" t="s">
        <v>196</v>
      </c>
      <c r="AM51" s="22" t="s">
        <v>197</v>
      </c>
      <c r="AN51" s="22">
        <v>1</v>
      </c>
      <c r="AO51" s="22">
        <v>1.1599999999999999</v>
      </c>
      <c r="AP51" s="22">
        <v>1.39</v>
      </c>
      <c r="AQ51" s="22">
        <v>16000</v>
      </c>
      <c r="AR51" s="22">
        <v>6000</v>
      </c>
      <c r="AS51" s="22">
        <v>10826</v>
      </c>
      <c r="AT51" s="22">
        <v>16680</v>
      </c>
      <c r="AU51" s="22">
        <v>70000</v>
      </c>
      <c r="AV51" s="22">
        <v>1500</v>
      </c>
      <c r="AW51" s="22">
        <v>1740</v>
      </c>
      <c r="AX51" s="22">
        <v>2085</v>
      </c>
      <c r="AY51" s="22">
        <v>2325</v>
      </c>
      <c r="AZ51" s="22">
        <v>2477</v>
      </c>
      <c r="BA51" s="22">
        <v>2663</v>
      </c>
      <c r="BB51" s="22">
        <v>79825</v>
      </c>
      <c r="BC51" s="22">
        <v>85043</v>
      </c>
      <c r="BD51" s="22">
        <v>91428</v>
      </c>
      <c r="BE51" s="22">
        <v>1.5</v>
      </c>
      <c r="BF51" s="22">
        <v>1.66</v>
      </c>
      <c r="BG51" s="22">
        <v>1.89</v>
      </c>
      <c r="BH51" s="22">
        <v>2.5</v>
      </c>
    </row>
    <row r="52" spans="1:60" ht="24" customHeight="1" thickBot="1" x14ac:dyDescent="0.25">
      <c r="A52" s="2" t="s">
        <v>215</v>
      </c>
      <c r="B52" s="2" t="s">
        <v>200</v>
      </c>
      <c r="C52" s="2">
        <f>I1</f>
        <v>16300</v>
      </c>
      <c r="D52" s="2">
        <v>3</v>
      </c>
      <c r="E52" s="2">
        <v>3.36</v>
      </c>
      <c r="F52" s="2">
        <v>3.86</v>
      </c>
      <c r="G52" s="4">
        <v>2.2000000000000002</v>
      </c>
      <c r="H52" s="4">
        <v>2.56</v>
      </c>
      <c r="I52" s="4">
        <v>3.06</v>
      </c>
      <c r="J52" s="5">
        <f t="shared" si="17"/>
        <v>13447.500000000002</v>
      </c>
      <c r="K52" s="5">
        <f t="shared" si="18"/>
        <v>24327.423999999999</v>
      </c>
      <c r="L52" s="5">
        <f t="shared" si="19"/>
        <v>37408.5</v>
      </c>
      <c r="M52" s="2">
        <v>2</v>
      </c>
      <c r="N52" s="2">
        <v>2</v>
      </c>
      <c r="O52" s="5">
        <f t="shared" si="3"/>
        <v>4</v>
      </c>
      <c r="P52" s="2" t="s">
        <v>211</v>
      </c>
      <c r="Q52" s="2" t="s">
        <v>211</v>
      </c>
      <c r="R52" s="2" t="s">
        <v>207</v>
      </c>
      <c r="S52" s="35">
        <v>2.89</v>
      </c>
      <c r="T52" s="35">
        <v>0.84</v>
      </c>
      <c r="U52" s="34">
        <f t="shared" si="4"/>
        <v>3.73</v>
      </c>
      <c r="V52" s="2">
        <v>40000</v>
      </c>
      <c r="W52" s="2">
        <v>33000</v>
      </c>
      <c r="X52" s="4">
        <f t="shared" si="5"/>
        <v>115600</v>
      </c>
      <c r="Y52" s="4">
        <f t="shared" si="6"/>
        <v>27720</v>
      </c>
      <c r="Z52" s="4">
        <f t="shared" si="7"/>
        <v>143320</v>
      </c>
      <c r="AA52" s="5">
        <f t="shared" si="8"/>
        <v>3300.0000000000005</v>
      </c>
      <c r="AB52" s="5">
        <f t="shared" si="9"/>
        <v>3840</v>
      </c>
      <c r="AC52" s="4">
        <f t="shared" si="10"/>
        <v>4590</v>
      </c>
      <c r="AD52" s="5">
        <f t="shared" si="11"/>
        <v>4802.0249999999996</v>
      </c>
      <c r="AE52" s="5">
        <f t="shared" si="12"/>
        <v>5144.6227199999994</v>
      </c>
      <c r="AF52" s="5">
        <f t="shared" si="13"/>
        <v>5559.5549999999994</v>
      </c>
      <c r="AG52" s="5">
        <f t="shared" si="14"/>
        <v>164869.52499999999</v>
      </c>
      <c r="AH52" s="5">
        <f t="shared" si="15"/>
        <v>176632.04671999998</v>
      </c>
      <c r="AI52" s="5">
        <f t="shared" si="16"/>
        <v>190878.05499999999</v>
      </c>
      <c r="AK52" s="16" t="s">
        <v>198</v>
      </c>
      <c r="AL52" s="16" t="s">
        <v>199</v>
      </c>
      <c r="AM52" s="22" t="s">
        <v>200</v>
      </c>
      <c r="AN52" s="22">
        <v>2.2000000000000002</v>
      </c>
      <c r="AO52" s="22">
        <v>2.56</v>
      </c>
      <c r="AP52" s="22">
        <v>3.06</v>
      </c>
      <c r="AQ52" s="22">
        <v>16000</v>
      </c>
      <c r="AR52" s="22">
        <v>13200</v>
      </c>
      <c r="AS52" s="22">
        <v>23892</v>
      </c>
      <c r="AT52" s="22">
        <v>36720</v>
      </c>
      <c r="AU52" s="22">
        <v>81000</v>
      </c>
      <c r="AV52" s="22">
        <v>3300</v>
      </c>
      <c r="AW52" s="22">
        <v>3840</v>
      </c>
      <c r="AX52" s="22">
        <v>4590</v>
      </c>
      <c r="AY52" s="22">
        <v>2925</v>
      </c>
      <c r="AZ52" s="22">
        <v>3262</v>
      </c>
      <c r="BA52" s="22">
        <v>3669</v>
      </c>
      <c r="BB52" s="22">
        <v>100425</v>
      </c>
      <c r="BC52" s="22">
        <v>111994</v>
      </c>
      <c r="BD52" s="22">
        <v>125979</v>
      </c>
      <c r="BE52" s="22">
        <v>3</v>
      </c>
      <c r="BF52" s="22">
        <v>3.36</v>
      </c>
      <c r="BG52" s="22">
        <v>3.86</v>
      </c>
      <c r="BH52" s="22">
        <v>4</v>
      </c>
    </row>
    <row r="53" spans="1:60" ht="24" customHeight="1" thickBot="1" x14ac:dyDescent="0.25">
      <c r="A53" s="2" t="s">
        <v>215</v>
      </c>
      <c r="B53" s="2" t="s">
        <v>203</v>
      </c>
      <c r="C53" s="2">
        <f>I1</f>
        <v>16300</v>
      </c>
      <c r="D53" s="2">
        <v>1.39</v>
      </c>
      <c r="E53" s="2">
        <v>1.53</v>
      </c>
      <c r="F53" s="2">
        <v>1.74</v>
      </c>
      <c r="G53" s="4">
        <v>0.89</v>
      </c>
      <c r="H53" s="4">
        <v>1.03</v>
      </c>
      <c r="I53" s="4">
        <v>1.24</v>
      </c>
      <c r="J53" s="5">
        <f t="shared" si="17"/>
        <v>5440.125</v>
      </c>
      <c r="K53" s="5">
        <f t="shared" si="18"/>
        <v>9787.9869999999992</v>
      </c>
      <c r="L53" s="5">
        <f t="shared" si="19"/>
        <v>15159</v>
      </c>
      <c r="M53" s="2">
        <v>2</v>
      </c>
      <c r="N53" s="2">
        <v>0</v>
      </c>
      <c r="O53" s="5">
        <f t="shared" si="3"/>
        <v>2</v>
      </c>
      <c r="P53" s="2" t="s">
        <v>228</v>
      </c>
      <c r="Q53" s="2" t="s">
        <v>210</v>
      </c>
      <c r="R53" s="2" t="s">
        <v>207</v>
      </c>
      <c r="S53" s="35">
        <v>2.39</v>
      </c>
      <c r="T53" s="35">
        <v>0</v>
      </c>
      <c r="U53" s="34">
        <f t="shared" si="4"/>
        <v>2.39</v>
      </c>
      <c r="V53" s="2">
        <v>40000</v>
      </c>
      <c r="W53" s="2">
        <v>0</v>
      </c>
      <c r="X53" s="4">
        <f t="shared" si="5"/>
        <v>95600</v>
      </c>
      <c r="Y53" s="4">
        <f t="shared" si="6"/>
        <v>0</v>
      </c>
      <c r="Z53" s="4">
        <f t="shared" si="7"/>
        <v>95600</v>
      </c>
      <c r="AA53" s="5">
        <f t="shared" si="8"/>
        <v>1335</v>
      </c>
      <c r="AB53" s="5">
        <f t="shared" si="9"/>
        <v>1545</v>
      </c>
      <c r="AC53" s="4">
        <f t="shared" si="10"/>
        <v>1860</v>
      </c>
      <c r="AD53" s="5">
        <f t="shared" si="11"/>
        <v>3071.2537499999999</v>
      </c>
      <c r="AE53" s="5">
        <f t="shared" si="12"/>
        <v>3207.9896099999996</v>
      </c>
      <c r="AF53" s="5">
        <f t="shared" si="13"/>
        <v>3378.5699999999997</v>
      </c>
      <c r="AG53" s="5">
        <f t="shared" si="14"/>
        <v>105446.37875</v>
      </c>
      <c r="AH53" s="5">
        <f t="shared" si="15"/>
        <v>110140.97661</v>
      </c>
      <c r="AI53" s="5">
        <f t="shared" si="16"/>
        <v>115997.57</v>
      </c>
      <c r="AK53" s="16" t="s">
        <v>201</v>
      </c>
      <c r="AL53" s="16" t="s">
        <v>202</v>
      </c>
      <c r="AM53" s="22" t="s">
        <v>203</v>
      </c>
      <c r="AN53" s="22">
        <v>0.89</v>
      </c>
      <c r="AO53" s="22">
        <v>1.03</v>
      </c>
      <c r="AP53" s="22">
        <v>1.24</v>
      </c>
      <c r="AQ53" s="22">
        <v>16000</v>
      </c>
      <c r="AR53" s="22">
        <v>5340</v>
      </c>
      <c r="AS53" s="22">
        <v>9613</v>
      </c>
      <c r="AT53" s="22">
        <v>14880</v>
      </c>
      <c r="AU53" s="22">
        <v>45000</v>
      </c>
      <c r="AV53" s="22">
        <v>1335</v>
      </c>
      <c r="AW53" s="22">
        <v>1545</v>
      </c>
      <c r="AX53" s="22">
        <v>1860</v>
      </c>
      <c r="AY53" s="22">
        <v>1550</v>
      </c>
      <c r="AZ53" s="22">
        <v>1685</v>
      </c>
      <c r="BA53" s="22">
        <v>1852</v>
      </c>
      <c r="BB53" s="22">
        <v>53225</v>
      </c>
      <c r="BC53" s="22">
        <v>57843</v>
      </c>
      <c r="BD53" s="22">
        <v>63592</v>
      </c>
      <c r="BE53" s="22">
        <v>1.39</v>
      </c>
      <c r="BF53" s="22">
        <v>1.53</v>
      </c>
      <c r="BG53" s="22">
        <v>1.74</v>
      </c>
      <c r="BH53" s="22">
        <v>2.5</v>
      </c>
    </row>
  </sheetData>
  <mergeCells count="21">
    <mergeCell ref="S2:U2"/>
    <mergeCell ref="BE2:BG2"/>
    <mergeCell ref="AA2:AC2"/>
    <mergeCell ref="AG2:AI2"/>
    <mergeCell ref="D2:F2"/>
    <mergeCell ref="V2:W2"/>
    <mergeCell ref="X2:Y2"/>
    <mergeCell ref="M2:O2"/>
    <mergeCell ref="AN2:AP2"/>
    <mergeCell ref="AR2:AT2"/>
    <mergeCell ref="AV2:AX2"/>
    <mergeCell ref="AY2:BA2"/>
    <mergeCell ref="BB2:BD2"/>
    <mergeCell ref="Z2:Z3"/>
    <mergeCell ref="P2:R2"/>
    <mergeCell ref="AD2:AF2"/>
    <mergeCell ref="B2:B3"/>
    <mergeCell ref="A2:A3"/>
    <mergeCell ref="C2:C3"/>
    <mergeCell ref="J2:L2"/>
    <mergeCell ref="G2:I2"/>
  </mergeCells>
  <hyperlinks>
    <hyperlink ref="AM4" r:id="rId1"/>
    <hyperlink ref="AM5" r:id="rId2"/>
    <hyperlink ref="AM6" r:id="rId3"/>
    <hyperlink ref="AM7" r:id="rId4"/>
    <hyperlink ref="AM8" r:id="rId5" display="https://drive.google.com/file/d/1_9pvRc_woFaC0fZaAUHmcey1zGQjucpR/view?usp=sharing"/>
    <hyperlink ref="AM9" r:id="rId6"/>
    <hyperlink ref="AM10" r:id="rId7"/>
    <hyperlink ref="AM11" r:id="rId8"/>
    <hyperlink ref="AM12" r:id="rId9"/>
    <hyperlink ref="AM13" r:id="rId10" display="https://drive.google.com/file/d/1C23im9SU_tGwWMCC73M0ZcJSPNg7C-NC/view?usp=sharing"/>
    <hyperlink ref="AM14" r:id="rId11"/>
    <hyperlink ref="AM15" r:id="rId12"/>
    <hyperlink ref="AM16" r:id="rId13"/>
    <hyperlink ref="AM17" r:id="rId14"/>
    <hyperlink ref="AM18" r:id="rId15"/>
    <hyperlink ref="AM19" r:id="rId16"/>
    <hyperlink ref="AM20" r:id="rId17"/>
    <hyperlink ref="AM21" r:id="rId18"/>
    <hyperlink ref="AM22" r:id="rId19"/>
    <hyperlink ref="AM23" r:id="rId20"/>
    <hyperlink ref="AM24" r:id="rId21"/>
  </hyperlinks>
  <pageMargins left="0.7" right="0.7" top="0.75" bottom="0.75" header="0.3" footer="0.3"/>
  <pageSetup orientation="portrait"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53"/>
  <sheetViews>
    <sheetView tabSelected="1" topLeftCell="DI28" workbookViewId="0">
      <selection activeCell="AU12" sqref="AU12"/>
    </sheetView>
  </sheetViews>
  <sheetFormatPr defaultRowHeight="15" x14ac:dyDescent="0.25"/>
  <cols>
    <col min="1" max="1" width="11.42578125" customWidth="1"/>
    <col min="2" max="2" width="15.5703125" customWidth="1"/>
    <col min="52" max="53" width="12.28515625" bestFit="1" customWidth="1"/>
    <col min="54" max="54" width="11" bestFit="1" customWidth="1"/>
    <col min="55" max="55" width="9.7109375" bestFit="1" customWidth="1"/>
    <col min="75" max="75" width="11.42578125" bestFit="1" customWidth="1"/>
    <col min="94" max="94" width="15.7109375" customWidth="1"/>
    <col min="95" max="95" width="14.5703125" style="64" customWidth="1"/>
  </cols>
  <sheetData>
    <row r="1" spans="1:137" ht="38.25" customHeight="1" thickBot="1" x14ac:dyDescent="0.4">
      <c r="A1" s="1"/>
      <c r="B1" s="1"/>
      <c r="C1" s="1"/>
      <c r="D1" s="27"/>
      <c r="E1" s="27"/>
      <c r="F1" s="27"/>
      <c r="G1" s="1"/>
      <c r="H1" s="28" t="s">
        <v>0</v>
      </c>
      <c r="I1" s="43">
        <v>16300</v>
      </c>
      <c r="J1" s="137" t="s">
        <v>20</v>
      </c>
      <c r="K1" s="138"/>
      <c r="L1" s="138"/>
      <c r="M1" s="138"/>
      <c r="N1" s="138"/>
      <c r="O1" s="138"/>
      <c r="P1" s="138"/>
      <c r="Q1" s="138"/>
      <c r="R1" s="138"/>
      <c r="S1" s="138"/>
      <c r="T1" s="138"/>
      <c r="U1" s="138"/>
      <c r="V1" s="138"/>
      <c r="W1" s="138"/>
      <c r="X1" s="138"/>
      <c r="Y1" s="138"/>
      <c r="Z1" s="138"/>
      <c r="AA1" s="138"/>
      <c r="AB1" s="138"/>
      <c r="AC1" s="138"/>
      <c r="AD1" s="139"/>
      <c r="AE1" s="137" t="s">
        <v>8</v>
      </c>
      <c r="AF1" s="138"/>
      <c r="AG1" s="138"/>
      <c r="AH1" s="138"/>
      <c r="AI1" s="138"/>
      <c r="AJ1" s="138"/>
      <c r="AK1" s="138"/>
      <c r="AL1" s="138"/>
      <c r="AM1" s="138"/>
      <c r="AN1" s="138"/>
      <c r="AO1" s="138"/>
      <c r="AP1" s="138"/>
      <c r="AQ1" s="138"/>
      <c r="AR1" s="138"/>
      <c r="AS1" s="138"/>
      <c r="AT1" s="138"/>
      <c r="AU1" s="138"/>
      <c r="AV1" s="138"/>
      <c r="AW1" s="138"/>
      <c r="AX1" s="138"/>
      <c r="AY1" s="139"/>
      <c r="AZ1" s="137" t="s">
        <v>7</v>
      </c>
      <c r="BA1" s="138"/>
      <c r="BB1" s="138"/>
      <c r="BC1" s="138"/>
      <c r="BD1" s="138"/>
      <c r="BE1" s="138"/>
      <c r="BF1" s="138"/>
      <c r="BG1" s="138"/>
      <c r="BH1" s="138"/>
      <c r="BI1" s="138"/>
      <c r="BJ1" s="138"/>
      <c r="BK1" s="138"/>
      <c r="BL1" s="138"/>
      <c r="BM1" s="138"/>
      <c r="BN1" s="138"/>
      <c r="BO1" s="138"/>
      <c r="BP1" s="138"/>
      <c r="BQ1" s="138"/>
      <c r="BR1" s="138"/>
      <c r="BS1" s="138"/>
      <c r="BT1" s="139"/>
      <c r="BU1" s="137" t="s">
        <v>252</v>
      </c>
      <c r="BV1" s="138"/>
      <c r="BW1" s="138"/>
      <c r="BX1" s="138"/>
      <c r="BY1" s="138"/>
      <c r="BZ1" s="138"/>
      <c r="CA1" s="138"/>
      <c r="CB1" s="138"/>
      <c r="CC1" s="138"/>
      <c r="CD1" s="138"/>
      <c r="CE1" s="138"/>
      <c r="CF1" s="138"/>
      <c r="CG1" s="138"/>
      <c r="CH1" s="138"/>
      <c r="CI1" s="138"/>
      <c r="CJ1" s="138"/>
      <c r="CK1" s="138"/>
      <c r="CL1" s="138"/>
      <c r="CM1" s="138"/>
      <c r="CN1" s="138"/>
      <c r="CO1" s="139"/>
      <c r="CP1" s="56"/>
      <c r="CQ1" s="61"/>
      <c r="CR1" s="137" t="s">
        <v>18</v>
      </c>
      <c r="CS1" s="138"/>
      <c r="CT1" s="138"/>
      <c r="CU1" s="138"/>
      <c r="CV1" s="138"/>
      <c r="CW1" s="138"/>
      <c r="CX1" s="138"/>
      <c r="CY1" s="138"/>
      <c r="CZ1" s="138"/>
      <c r="DA1" s="138"/>
      <c r="DB1" s="138"/>
      <c r="DC1" s="138"/>
      <c r="DD1" s="138"/>
      <c r="DE1" s="138"/>
      <c r="DF1" s="138"/>
      <c r="DG1" s="138"/>
      <c r="DH1" s="138"/>
      <c r="DI1" s="138"/>
      <c r="DJ1" s="138"/>
      <c r="DK1" s="138"/>
      <c r="DL1" s="139"/>
      <c r="DM1" s="137" t="s">
        <v>254</v>
      </c>
      <c r="DN1" s="138"/>
      <c r="DO1" s="138"/>
      <c r="DP1" s="138"/>
      <c r="DQ1" s="138"/>
      <c r="DR1" s="138"/>
      <c r="DS1" s="138"/>
      <c r="DT1" s="138"/>
      <c r="DU1" s="138"/>
      <c r="DV1" s="138"/>
      <c r="DW1" s="138"/>
      <c r="DX1" s="138"/>
      <c r="DY1" s="138"/>
      <c r="DZ1" s="138"/>
      <c r="EA1" s="138"/>
      <c r="EB1" s="138"/>
      <c r="EC1" s="138"/>
      <c r="ED1" s="138"/>
      <c r="EE1" s="138"/>
      <c r="EF1" s="138"/>
      <c r="EG1" s="139"/>
    </row>
    <row r="2" spans="1:137" ht="38.25" thickBot="1" x14ac:dyDescent="0.3">
      <c r="A2" s="115" t="s">
        <v>5</v>
      </c>
      <c r="B2" s="113" t="s">
        <v>9</v>
      </c>
      <c r="C2" s="117" t="s">
        <v>0</v>
      </c>
      <c r="D2" s="119" t="s">
        <v>20</v>
      </c>
      <c r="E2" s="120"/>
      <c r="F2" s="121"/>
      <c r="G2" s="119" t="s">
        <v>8</v>
      </c>
      <c r="H2" s="120"/>
      <c r="I2" s="120"/>
      <c r="J2" s="119" t="s">
        <v>245</v>
      </c>
      <c r="K2" s="120"/>
      <c r="L2" s="121"/>
      <c r="M2" s="119" t="s">
        <v>246</v>
      </c>
      <c r="N2" s="120"/>
      <c r="O2" s="121"/>
      <c r="P2" s="119" t="s">
        <v>247</v>
      </c>
      <c r="Q2" s="120"/>
      <c r="R2" s="121"/>
      <c r="S2" s="119" t="s">
        <v>248</v>
      </c>
      <c r="T2" s="120"/>
      <c r="U2" s="121"/>
      <c r="V2" s="119" t="s">
        <v>249</v>
      </c>
      <c r="W2" s="120"/>
      <c r="X2" s="121"/>
      <c r="Y2" s="119" t="s">
        <v>250</v>
      </c>
      <c r="Z2" s="120"/>
      <c r="AA2" s="121"/>
      <c r="AB2" s="119" t="s">
        <v>251</v>
      </c>
      <c r="AC2" s="120"/>
      <c r="AD2" s="121"/>
      <c r="AE2" s="120" t="s">
        <v>245</v>
      </c>
      <c r="AF2" s="120"/>
      <c r="AG2" s="121"/>
      <c r="AH2" s="119" t="s">
        <v>246</v>
      </c>
      <c r="AI2" s="120"/>
      <c r="AJ2" s="121"/>
      <c r="AK2" s="119" t="s">
        <v>247</v>
      </c>
      <c r="AL2" s="120"/>
      <c r="AM2" s="121"/>
      <c r="AN2" s="119" t="s">
        <v>248</v>
      </c>
      <c r="AO2" s="120"/>
      <c r="AP2" s="121"/>
      <c r="AQ2" s="119" t="s">
        <v>249</v>
      </c>
      <c r="AR2" s="120"/>
      <c r="AS2" s="121"/>
      <c r="AT2" s="119" t="s">
        <v>250</v>
      </c>
      <c r="AU2" s="120"/>
      <c r="AV2" s="121"/>
      <c r="AW2" s="119" t="s">
        <v>251</v>
      </c>
      <c r="AX2" s="120"/>
      <c r="AY2" s="121"/>
      <c r="AZ2" s="119" t="s">
        <v>245</v>
      </c>
      <c r="BA2" s="120"/>
      <c r="BB2" s="121"/>
      <c r="BC2" s="119" t="s">
        <v>246</v>
      </c>
      <c r="BD2" s="120"/>
      <c r="BE2" s="121"/>
      <c r="BF2" s="119" t="s">
        <v>247</v>
      </c>
      <c r="BG2" s="120"/>
      <c r="BH2" s="121"/>
      <c r="BI2" s="119" t="s">
        <v>248</v>
      </c>
      <c r="BJ2" s="120"/>
      <c r="BK2" s="121"/>
      <c r="BL2" s="119" t="s">
        <v>249</v>
      </c>
      <c r="BM2" s="120"/>
      <c r="BN2" s="121"/>
      <c r="BO2" s="119" t="s">
        <v>250</v>
      </c>
      <c r="BP2" s="120"/>
      <c r="BQ2" s="121"/>
      <c r="BR2" s="119" t="s">
        <v>251</v>
      </c>
      <c r="BS2" s="120"/>
      <c r="BT2" s="121"/>
      <c r="BU2" s="119" t="s">
        <v>245</v>
      </c>
      <c r="BV2" s="120"/>
      <c r="BW2" s="121"/>
      <c r="BX2" s="119" t="s">
        <v>246</v>
      </c>
      <c r="BY2" s="120"/>
      <c r="BZ2" s="121"/>
      <c r="CA2" s="119" t="s">
        <v>247</v>
      </c>
      <c r="CB2" s="120"/>
      <c r="CC2" s="121"/>
      <c r="CD2" s="119" t="s">
        <v>248</v>
      </c>
      <c r="CE2" s="120"/>
      <c r="CF2" s="121"/>
      <c r="CG2" s="119" t="s">
        <v>249</v>
      </c>
      <c r="CH2" s="120"/>
      <c r="CI2" s="121"/>
      <c r="CJ2" s="119" t="s">
        <v>250</v>
      </c>
      <c r="CK2" s="120"/>
      <c r="CL2" s="121"/>
      <c r="CM2" s="119" t="s">
        <v>251</v>
      </c>
      <c r="CN2" s="120"/>
      <c r="CO2" s="121"/>
      <c r="CP2" s="55" t="s">
        <v>255</v>
      </c>
      <c r="CQ2" s="38" t="s">
        <v>253</v>
      </c>
      <c r="CR2" s="119" t="s">
        <v>245</v>
      </c>
      <c r="CS2" s="120"/>
      <c r="CT2" s="121"/>
      <c r="CU2" s="119" t="s">
        <v>246</v>
      </c>
      <c r="CV2" s="120"/>
      <c r="CW2" s="121"/>
      <c r="CX2" s="119" t="s">
        <v>247</v>
      </c>
      <c r="CY2" s="120"/>
      <c r="CZ2" s="121"/>
      <c r="DA2" s="119" t="s">
        <v>248</v>
      </c>
      <c r="DB2" s="120"/>
      <c r="DC2" s="121"/>
      <c r="DD2" s="119" t="s">
        <v>249</v>
      </c>
      <c r="DE2" s="120"/>
      <c r="DF2" s="121"/>
      <c r="DG2" s="119" t="s">
        <v>250</v>
      </c>
      <c r="DH2" s="120"/>
      <c r="DI2" s="121"/>
      <c r="DJ2" s="119" t="s">
        <v>251</v>
      </c>
      <c r="DK2" s="120"/>
      <c r="DL2" s="121"/>
      <c r="DM2" s="119" t="s">
        <v>245</v>
      </c>
      <c r="DN2" s="120"/>
      <c r="DO2" s="121"/>
      <c r="DP2" s="119" t="s">
        <v>246</v>
      </c>
      <c r="DQ2" s="120"/>
      <c r="DR2" s="121"/>
      <c r="DS2" s="119" t="s">
        <v>247</v>
      </c>
      <c r="DT2" s="120"/>
      <c r="DU2" s="121"/>
      <c r="DV2" s="119" t="s">
        <v>248</v>
      </c>
      <c r="DW2" s="120"/>
      <c r="DX2" s="121"/>
      <c r="DY2" s="119" t="s">
        <v>249</v>
      </c>
      <c r="DZ2" s="120"/>
      <c r="EA2" s="121"/>
      <c r="EB2" s="119" t="s">
        <v>250</v>
      </c>
      <c r="EC2" s="120"/>
      <c r="ED2" s="121"/>
      <c r="EE2" s="119" t="s">
        <v>251</v>
      </c>
      <c r="EF2" s="120"/>
      <c r="EG2" s="121"/>
    </row>
    <row r="3" spans="1:137" ht="19.5" thickBot="1" x14ac:dyDescent="0.3">
      <c r="A3" s="116"/>
      <c r="B3" s="114"/>
      <c r="C3" s="118"/>
      <c r="D3" s="24" t="s">
        <v>108</v>
      </c>
      <c r="E3" s="25" t="s">
        <v>1</v>
      </c>
      <c r="F3" s="26" t="s">
        <v>2</v>
      </c>
      <c r="G3" s="39" t="s">
        <v>108</v>
      </c>
      <c r="H3" s="36" t="s">
        <v>1</v>
      </c>
      <c r="I3" s="54" t="s">
        <v>2</v>
      </c>
      <c r="J3" s="39" t="s">
        <v>108</v>
      </c>
      <c r="K3" s="65" t="s">
        <v>1</v>
      </c>
      <c r="L3" s="40" t="s">
        <v>2</v>
      </c>
      <c r="M3" s="39" t="s">
        <v>108</v>
      </c>
      <c r="N3" s="65" t="s">
        <v>1</v>
      </c>
      <c r="O3" s="40" t="s">
        <v>2</v>
      </c>
      <c r="P3" s="39" t="s">
        <v>108</v>
      </c>
      <c r="Q3" s="65" t="s">
        <v>1</v>
      </c>
      <c r="R3" s="40" t="s">
        <v>2</v>
      </c>
      <c r="S3" s="39" t="s">
        <v>108</v>
      </c>
      <c r="T3" s="65" t="s">
        <v>1</v>
      </c>
      <c r="U3" s="40" t="s">
        <v>2</v>
      </c>
      <c r="V3" s="39" t="s">
        <v>108</v>
      </c>
      <c r="W3" s="65" t="s">
        <v>1</v>
      </c>
      <c r="X3" s="40" t="s">
        <v>2</v>
      </c>
      <c r="Y3" s="39" t="s">
        <v>108</v>
      </c>
      <c r="Z3" s="65" t="s">
        <v>1</v>
      </c>
      <c r="AA3" s="40" t="s">
        <v>2</v>
      </c>
      <c r="AB3" s="39" t="s">
        <v>108</v>
      </c>
      <c r="AC3" s="65" t="s">
        <v>1</v>
      </c>
      <c r="AD3" s="40" t="s">
        <v>2</v>
      </c>
      <c r="AE3" s="92" t="s">
        <v>108</v>
      </c>
      <c r="AF3" s="36" t="s">
        <v>1</v>
      </c>
      <c r="AG3" s="40" t="s">
        <v>2</v>
      </c>
      <c r="AH3" s="39" t="s">
        <v>108</v>
      </c>
      <c r="AI3" s="36" t="s">
        <v>1</v>
      </c>
      <c r="AJ3" s="40" t="s">
        <v>2</v>
      </c>
      <c r="AK3" s="39" t="s">
        <v>108</v>
      </c>
      <c r="AL3" s="36" t="s">
        <v>1</v>
      </c>
      <c r="AM3" s="40" t="s">
        <v>2</v>
      </c>
      <c r="AN3" s="39" t="s">
        <v>108</v>
      </c>
      <c r="AO3" s="36" t="s">
        <v>1</v>
      </c>
      <c r="AP3" s="40" t="s">
        <v>2</v>
      </c>
      <c r="AQ3" s="39" t="s">
        <v>108</v>
      </c>
      <c r="AR3" s="36" t="s">
        <v>1</v>
      </c>
      <c r="AS3" s="40" t="s">
        <v>2</v>
      </c>
      <c r="AT3" s="39" t="s">
        <v>108</v>
      </c>
      <c r="AU3" s="36" t="s">
        <v>1</v>
      </c>
      <c r="AV3" s="40" t="s">
        <v>2</v>
      </c>
      <c r="AW3" s="39" t="s">
        <v>108</v>
      </c>
      <c r="AX3" s="36" t="s">
        <v>1</v>
      </c>
      <c r="AY3" s="40" t="s">
        <v>2</v>
      </c>
      <c r="AZ3" s="39" t="s">
        <v>108</v>
      </c>
      <c r="BA3" s="36" t="s">
        <v>1</v>
      </c>
      <c r="BB3" s="40" t="s">
        <v>2</v>
      </c>
      <c r="BC3" s="39" t="s">
        <v>108</v>
      </c>
      <c r="BD3" s="36" t="s">
        <v>1</v>
      </c>
      <c r="BE3" s="40" t="s">
        <v>2</v>
      </c>
      <c r="BF3" s="39" t="s">
        <v>108</v>
      </c>
      <c r="BG3" s="36" t="s">
        <v>1</v>
      </c>
      <c r="BH3" s="40" t="s">
        <v>2</v>
      </c>
      <c r="BI3" s="39" t="s">
        <v>108</v>
      </c>
      <c r="BJ3" s="36" t="s">
        <v>1</v>
      </c>
      <c r="BK3" s="40" t="s">
        <v>2</v>
      </c>
      <c r="BL3" s="39" t="s">
        <v>108</v>
      </c>
      <c r="BM3" s="36" t="s">
        <v>1</v>
      </c>
      <c r="BN3" s="40" t="s">
        <v>2</v>
      </c>
      <c r="BO3" s="39" t="s">
        <v>108</v>
      </c>
      <c r="BP3" s="36" t="s">
        <v>1</v>
      </c>
      <c r="BQ3" s="40" t="s">
        <v>2</v>
      </c>
      <c r="BR3" s="39" t="s">
        <v>108</v>
      </c>
      <c r="BS3" s="36" t="s">
        <v>1</v>
      </c>
      <c r="BT3" s="40" t="s">
        <v>2</v>
      </c>
      <c r="BU3" s="39" t="s">
        <v>108</v>
      </c>
      <c r="BV3" s="37" t="s">
        <v>1</v>
      </c>
      <c r="BW3" s="40" t="s">
        <v>2</v>
      </c>
      <c r="BX3" s="39" t="s">
        <v>108</v>
      </c>
      <c r="BY3" s="37" t="s">
        <v>1</v>
      </c>
      <c r="BZ3" s="40" t="s">
        <v>2</v>
      </c>
      <c r="CA3" s="39" t="s">
        <v>108</v>
      </c>
      <c r="CB3" s="37" t="s">
        <v>1</v>
      </c>
      <c r="CC3" s="40" t="s">
        <v>2</v>
      </c>
      <c r="CD3" s="39" t="s">
        <v>108</v>
      </c>
      <c r="CE3" s="37" t="s">
        <v>1</v>
      </c>
      <c r="CF3" s="40" t="s">
        <v>2</v>
      </c>
      <c r="CG3" s="39" t="s">
        <v>108</v>
      </c>
      <c r="CH3" s="37" t="s">
        <v>1</v>
      </c>
      <c r="CI3" s="40" t="s">
        <v>2</v>
      </c>
      <c r="CJ3" s="39" t="s">
        <v>108</v>
      </c>
      <c r="CK3" s="37" t="s">
        <v>1</v>
      </c>
      <c r="CL3" s="40" t="s">
        <v>2</v>
      </c>
      <c r="CM3" s="39" t="s">
        <v>108</v>
      </c>
      <c r="CN3" s="37" t="s">
        <v>1</v>
      </c>
      <c r="CO3" s="40" t="s">
        <v>2</v>
      </c>
      <c r="CP3" s="59"/>
      <c r="CQ3" s="59"/>
      <c r="CR3" s="39" t="s">
        <v>108</v>
      </c>
      <c r="CS3" s="37" t="s">
        <v>1</v>
      </c>
      <c r="CT3" s="40" t="s">
        <v>2</v>
      </c>
      <c r="CU3" s="39" t="s">
        <v>108</v>
      </c>
      <c r="CV3" s="37" t="s">
        <v>1</v>
      </c>
      <c r="CW3" s="40" t="s">
        <v>2</v>
      </c>
      <c r="CX3" s="39" t="s">
        <v>108</v>
      </c>
      <c r="CY3" s="37" t="s">
        <v>1</v>
      </c>
      <c r="CZ3" s="40" t="s">
        <v>2</v>
      </c>
      <c r="DA3" s="39" t="s">
        <v>108</v>
      </c>
      <c r="DB3" s="37" t="s">
        <v>1</v>
      </c>
      <c r="DC3" s="40" t="s">
        <v>2</v>
      </c>
      <c r="DD3" s="39" t="s">
        <v>108</v>
      </c>
      <c r="DE3" s="37" t="s">
        <v>1</v>
      </c>
      <c r="DF3" s="40" t="s">
        <v>2</v>
      </c>
      <c r="DG3" s="39" t="s">
        <v>108</v>
      </c>
      <c r="DH3" s="37" t="s">
        <v>1</v>
      </c>
      <c r="DI3" s="40" t="s">
        <v>2</v>
      </c>
      <c r="DJ3" s="39" t="s">
        <v>108</v>
      </c>
      <c r="DK3" s="37" t="s">
        <v>1</v>
      </c>
      <c r="DL3" s="40" t="s">
        <v>2</v>
      </c>
      <c r="DM3" s="39" t="s">
        <v>108</v>
      </c>
      <c r="DN3" s="37" t="s">
        <v>1</v>
      </c>
      <c r="DO3" s="40" t="s">
        <v>2</v>
      </c>
      <c r="DP3" s="39" t="s">
        <v>108</v>
      </c>
      <c r="DQ3" s="37" t="s">
        <v>1</v>
      </c>
      <c r="DR3" s="40" t="s">
        <v>2</v>
      </c>
      <c r="DS3" s="39" t="s">
        <v>108</v>
      </c>
      <c r="DT3" s="37" t="s">
        <v>1</v>
      </c>
      <c r="DU3" s="40" t="s">
        <v>2</v>
      </c>
      <c r="DV3" s="39" t="s">
        <v>108</v>
      </c>
      <c r="DW3" s="37" t="s">
        <v>1</v>
      </c>
      <c r="DX3" s="40" t="s">
        <v>2</v>
      </c>
      <c r="DY3" s="39" t="s">
        <v>108</v>
      </c>
      <c r="DZ3" s="37" t="s">
        <v>1</v>
      </c>
      <c r="EA3" s="40" t="s">
        <v>2</v>
      </c>
      <c r="EB3" s="39" t="s">
        <v>108</v>
      </c>
      <c r="EC3" s="37" t="s">
        <v>1</v>
      </c>
      <c r="ED3" s="40" t="s">
        <v>2</v>
      </c>
      <c r="EE3" s="39" t="s">
        <v>108</v>
      </c>
      <c r="EF3" s="37" t="s">
        <v>1</v>
      </c>
      <c r="EG3" s="40" t="s">
        <v>2</v>
      </c>
    </row>
    <row r="4" spans="1:137" ht="18.75" x14ac:dyDescent="0.25">
      <c r="A4" s="4" t="s">
        <v>117</v>
      </c>
      <c r="B4" s="4" t="s">
        <v>238</v>
      </c>
      <c r="C4" s="4">
        <f>I1</f>
        <v>16300</v>
      </c>
      <c r="D4" s="4">
        <v>22.57</v>
      </c>
      <c r="E4" s="4">
        <v>24.91</v>
      </c>
      <c r="F4" s="4">
        <v>28.81</v>
      </c>
      <c r="G4" s="4">
        <v>19.760000000000002</v>
      </c>
      <c r="H4" s="4">
        <v>22.1</v>
      </c>
      <c r="I4" s="89">
        <v>26</v>
      </c>
      <c r="J4" s="93"/>
      <c r="K4" s="27"/>
      <c r="L4" s="94"/>
      <c r="M4" s="93"/>
      <c r="N4" s="27"/>
      <c r="O4" s="94"/>
      <c r="P4" s="93"/>
      <c r="Q4" s="27"/>
      <c r="R4" s="94"/>
      <c r="S4" s="93"/>
      <c r="T4" s="27"/>
      <c r="U4" s="94"/>
      <c r="V4" s="93"/>
      <c r="W4" s="27"/>
      <c r="X4" s="94"/>
      <c r="Y4" s="93"/>
      <c r="Z4" s="27"/>
      <c r="AA4" s="94"/>
      <c r="AB4" s="93"/>
      <c r="AC4" s="27"/>
      <c r="AD4" s="94"/>
      <c r="AE4" s="45"/>
      <c r="AF4" s="45"/>
      <c r="AG4" s="45"/>
      <c r="AH4" s="45"/>
      <c r="AI4" s="45"/>
      <c r="AJ4" s="45"/>
      <c r="AK4" s="45"/>
      <c r="AL4" s="45"/>
      <c r="AM4" s="45"/>
      <c r="AN4" s="45"/>
      <c r="AO4" s="45"/>
      <c r="AP4" s="45"/>
      <c r="AQ4" s="45"/>
      <c r="AR4" s="45"/>
      <c r="AS4" s="45"/>
      <c r="AT4" s="45"/>
      <c r="AU4" s="45"/>
      <c r="AV4" s="45"/>
      <c r="AW4" s="45"/>
      <c r="AX4" s="45"/>
      <c r="AY4" s="46"/>
      <c r="AZ4" s="44"/>
      <c r="BA4" s="45"/>
      <c r="BB4" s="45"/>
      <c r="BC4" s="45"/>
      <c r="BD4" s="45"/>
      <c r="BE4" s="45"/>
      <c r="BF4" s="45"/>
      <c r="BG4" s="45"/>
      <c r="BH4" s="45"/>
      <c r="BI4" s="45"/>
      <c r="BJ4" s="45"/>
      <c r="BK4" s="45"/>
      <c r="BL4" s="45"/>
      <c r="BM4" s="45"/>
      <c r="BN4" s="45"/>
      <c r="BO4" s="45"/>
      <c r="BP4" s="45"/>
      <c r="BQ4" s="45"/>
      <c r="BR4" s="45"/>
      <c r="BS4" s="45"/>
      <c r="BT4" s="46"/>
      <c r="BU4" s="44"/>
      <c r="BV4" s="45"/>
      <c r="BW4" s="45"/>
      <c r="BX4" s="45"/>
      <c r="BY4" s="45"/>
      <c r="BZ4" s="45"/>
      <c r="CA4" s="45"/>
      <c r="CB4" s="45"/>
      <c r="CC4" s="45"/>
      <c r="CD4" s="45"/>
      <c r="CE4" s="45"/>
      <c r="CF4" s="45"/>
      <c r="CG4" s="45"/>
      <c r="CH4" s="45"/>
      <c r="CI4" s="45"/>
      <c r="CJ4" s="45"/>
      <c r="CK4" s="45"/>
      <c r="CL4" s="45"/>
      <c r="CM4" s="45"/>
      <c r="CN4" s="45"/>
      <c r="CO4" s="46"/>
      <c r="CP4" s="34"/>
      <c r="CQ4" s="62"/>
      <c r="CR4" s="44"/>
      <c r="CS4" s="45"/>
      <c r="CT4" s="45"/>
      <c r="CU4" s="45"/>
      <c r="CV4" s="45"/>
      <c r="CW4" s="45"/>
      <c r="CX4" s="45"/>
      <c r="CY4" s="45"/>
      <c r="CZ4" s="45"/>
      <c r="DA4" s="45"/>
      <c r="DB4" s="45"/>
      <c r="DC4" s="45"/>
      <c r="DD4" s="45"/>
      <c r="DE4" s="45"/>
      <c r="DF4" s="45"/>
      <c r="DG4" s="45"/>
      <c r="DH4" s="45"/>
      <c r="DI4" s="45"/>
      <c r="DJ4" s="45"/>
      <c r="DK4" s="45"/>
      <c r="DL4" s="46"/>
      <c r="DM4" s="44"/>
      <c r="DN4" s="45"/>
      <c r="DO4" s="45"/>
      <c r="DP4" s="45"/>
      <c r="DQ4" s="45"/>
      <c r="DR4" s="45"/>
      <c r="DS4" s="45"/>
      <c r="DT4" s="45"/>
      <c r="DU4" s="45"/>
      <c r="DV4" s="45"/>
      <c r="DW4" s="45"/>
      <c r="DX4" s="45"/>
      <c r="DY4" s="45"/>
      <c r="DZ4" s="45"/>
      <c r="EA4" s="45"/>
      <c r="EB4" s="45"/>
      <c r="EC4" s="45"/>
      <c r="ED4" s="45"/>
      <c r="EE4" s="45"/>
      <c r="EF4" s="45"/>
      <c r="EG4" s="46"/>
    </row>
    <row r="5" spans="1:137" ht="18.75" x14ac:dyDescent="0.25">
      <c r="A5" s="4" t="s">
        <v>117</v>
      </c>
      <c r="B5" s="2">
        <v>594</v>
      </c>
      <c r="C5" s="4">
        <f>I1</f>
        <v>16300</v>
      </c>
      <c r="D5" s="4">
        <v>16.053999999999998</v>
      </c>
      <c r="E5" s="4">
        <v>17.64</v>
      </c>
      <c r="F5" s="4">
        <v>20.29</v>
      </c>
      <c r="G5" s="4">
        <v>13.414</v>
      </c>
      <c r="H5" s="4">
        <v>15</v>
      </c>
      <c r="I5" s="89">
        <v>17.649999999999999</v>
      </c>
      <c r="J5" s="93"/>
      <c r="K5" s="27"/>
      <c r="L5" s="94"/>
      <c r="M5" s="93"/>
      <c r="N5" s="27"/>
      <c r="O5" s="94"/>
      <c r="P5" s="93"/>
      <c r="Q5" s="27"/>
      <c r="R5" s="94"/>
      <c r="S5" s="93"/>
      <c r="T5" s="27"/>
      <c r="U5" s="94"/>
      <c r="V5" s="93"/>
      <c r="W5" s="27"/>
      <c r="X5" s="94"/>
      <c r="Y5" s="93"/>
      <c r="Z5" s="27"/>
      <c r="AA5" s="94"/>
      <c r="AB5" s="93"/>
      <c r="AC5" s="27"/>
      <c r="AD5" s="94"/>
      <c r="AE5" s="45"/>
      <c r="AF5" s="45"/>
      <c r="AG5" s="45"/>
      <c r="AH5" s="45"/>
      <c r="AI5" s="45"/>
      <c r="AJ5" s="45"/>
      <c r="AK5" s="45"/>
      <c r="AL5" s="45"/>
      <c r="AM5" s="45"/>
      <c r="AN5" s="45"/>
      <c r="AO5" s="45"/>
      <c r="AP5" s="45"/>
      <c r="AQ5" s="45"/>
      <c r="AR5" s="45"/>
      <c r="AS5" s="45"/>
      <c r="AT5" s="45"/>
      <c r="AU5" s="45"/>
      <c r="AV5" s="45"/>
      <c r="AW5" s="45"/>
      <c r="AX5" s="45"/>
      <c r="AY5" s="46"/>
      <c r="AZ5" s="44"/>
      <c r="BA5" s="45"/>
      <c r="BB5" s="45"/>
      <c r="BC5" s="45"/>
      <c r="BD5" s="45"/>
      <c r="BE5" s="45"/>
      <c r="BF5" s="45"/>
      <c r="BG5" s="45"/>
      <c r="BH5" s="45"/>
      <c r="BI5" s="45"/>
      <c r="BJ5" s="45"/>
      <c r="BK5" s="45"/>
      <c r="BL5" s="45"/>
      <c r="BM5" s="45"/>
      <c r="BN5" s="45"/>
      <c r="BO5" s="45"/>
      <c r="BP5" s="45"/>
      <c r="BQ5" s="45"/>
      <c r="BR5" s="45"/>
      <c r="BS5" s="45"/>
      <c r="BT5" s="46"/>
      <c r="BU5" s="44"/>
      <c r="BV5" s="45"/>
      <c r="BW5" s="45"/>
      <c r="BX5" s="45"/>
      <c r="BY5" s="45"/>
      <c r="BZ5" s="45"/>
      <c r="CA5" s="45"/>
      <c r="CB5" s="45"/>
      <c r="CC5" s="45"/>
      <c r="CD5" s="45"/>
      <c r="CE5" s="45"/>
      <c r="CF5" s="45"/>
      <c r="CG5" s="45"/>
      <c r="CH5" s="45"/>
      <c r="CI5" s="45"/>
      <c r="CJ5" s="45"/>
      <c r="CK5" s="45"/>
      <c r="CL5" s="45"/>
      <c r="CM5" s="45"/>
      <c r="CN5" s="45"/>
      <c r="CO5" s="46"/>
      <c r="CP5" s="34"/>
      <c r="CQ5" s="62"/>
      <c r="CR5" s="44"/>
      <c r="CS5" s="45"/>
      <c r="CT5" s="45"/>
      <c r="CU5" s="45"/>
      <c r="CV5" s="45"/>
      <c r="CW5" s="45"/>
      <c r="CX5" s="45"/>
      <c r="CY5" s="45"/>
      <c r="CZ5" s="45"/>
      <c r="DA5" s="45"/>
      <c r="DB5" s="45"/>
      <c r="DC5" s="45"/>
      <c r="DD5" s="45"/>
      <c r="DE5" s="45"/>
      <c r="DF5" s="45"/>
      <c r="DG5" s="45"/>
      <c r="DH5" s="45"/>
      <c r="DI5" s="45"/>
      <c r="DJ5" s="45"/>
      <c r="DK5" s="45"/>
      <c r="DL5" s="46"/>
      <c r="DM5" s="44"/>
      <c r="DN5" s="45"/>
      <c r="DO5" s="45"/>
      <c r="DP5" s="45"/>
      <c r="DQ5" s="45"/>
      <c r="DR5" s="45"/>
      <c r="DS5" s="45"/>
      <c r="DT5" s="45"/>
      <c r="DU5" s="45"/>
      <c r="DV5" s="45"/>
      <c r="DW5" s="45"/>
      <c r="DX5" s="45"/>
      <c r="DY5" s="45"/>
      <c r="DZ5" s="45"/>
      <c r="EA5" s="45"/>
      <c r="EB5" s="45"/>
      <c r="EC5" s="45"/>
      <c r="ED5" s="45"/>
      <c r="EE5" s="45"/>
      <c r="EF5" s="45"/>
      <c r="EG5" s="46"/>
    </row>
    <row r="6" spans="1:137" ht="18.75" x14ac:dyDescent="0.25">
      <c r="A6" s="4" t="s">
        <v>117</v>
      </c>
      <c r="B6" s="2" t="s">
        <v>217</v>
      </c>
      <c r="C6" s="4">
        <f>I1</f>
        <v>16300</v>
      </c>
      <c r="D6" s="4">
        <v>9.7279999999999998</v>
      </c>
      <c r="E6" s="4">
        <v>10.772</v>
      </c>
      <c r="F6" s="4">
        <v>12.512</v>
      </c>
      <c r="G6" s="4">
        <v>8.8160000000000007</v>
      </c>
      <c r="H6" s="4">
        <v>9.86</v>
      </c>
      <c r="I6" s="89">
        <v>11.6</v>
      </c>
      <c r="J6" s="93"/>
      <c r="K6" s="27"/>
      <c r="L6" s="94"/>
      <c r="M6" s="93"/>
      <c r="N6" s="27"/>
      <c r="O6" s="94"/>
      <c r="P6" s="93"/>
      <c r="Q6" s="27"/>
      <c r="R6" s="94"/>
      <c r="S6" s="93"/>
      <c r="T6" s="27"/>
      <c r="U6" s="94"/>
      <c r="V6" s="93"/>
      <c r="W6" s="27"/>
      <c r="X6" s="94"/>
      <c r="Y6" s="93"/>
      <c r="Z6" s="27"/>
      <c r="AA6" s="94"/>
      <c r="AB6" s="93"/>
      <c r="AC6" s="27"/>
      <c r="AD6" s="94"/>
      <c r="AE6" s="45"/>
      <c r="AF6" s="45"/>
      <c r="AG6" s="45"/>
      <c r="AH6" s="45"/>
      <c r="AI6" s="45"/>
      <c r="AJ6" s="45"/>
      <c r="AK6" s="45"/>
      <c r="AL6" s="45"/>
      <c r="AM6" s="45"/>
      <c r="AN6" s="45"/>
      <c r="AO6" s="45"/>
      <c r="AP6" s="45"/>
      <c r="AQ6" s="45"/>
      <c r="AR6" s="45"/>
      <c r="AS6" s="45"/>
      <c r="AT6" s="45"/>
      <c r="AU6" s="45"/>
      <c r="AV6" s="45"/>
      <c r="AW6" s="45"/>
      <c r="AX6" s="45"/>
      <c r="AY6" s="46"/>
      <c r="AZ6" s="44"/>
      <c r="BA6" s="45"/>
      <c r="BB6" s="45"/>
      <c r="BC6" s="45"/>
      <c r="BD6" s="45"/>
      <c r="BE6" s="45"/>
      <c r="BF6" s="45"/>
      <c r="BG6" s="45"/>
      <c r="BH6" s="45"/>
      <c r="BI6" s="45"/>
      <c r="BJ6" s="45"/>
      <c r="BK6" s="45"/>
      <c r="BL6" s="45"/>
      <c r="BM6" s="45"/>
      <c r="BN6" s="45"/>
      <c r="BO6" s="45"/>
      <c r="BP6" s="45"/>
      <c r="BQ6" s="45"/>
      <c r="BR6" s="45"/>
      <c r="BS6" s="45"/>
      <c r="BT6" s="46"/>
      <c r="BU6" s="44"/>
      <c r="BV6" s="45"/>
      <c r="BW6" s="45"/>
      <c r="BX6" s="45"/>
      <c r="BY6" s="45"/>
      <c r="BZ6" s="45"/>
      <c r="CA6" s="45"/>
      <c r="CB6" s="45"/>
      <c r="CC6" s="45"/>
      <c r="CD6" s="45"/>
      <c r="CE6" s="45"/>
      <c r="CF6" s="45"/>
      <c r="CG6" s="45"/>
      <c r="CH6" s="45"/>
      <c r="CI6" s="45"/>
      <c r="CJ6" s="45"/>
      <c r="CK6" s="45"/>
      <c r="CL6" s="45"/>
      <c r="CM6" s="45"/>
      <c r="CN6" s="45"/>
      <c r="CO6" s="46"/>
      <c r="CP6" s="34"/>
      <c r="CQ6" s="62"/>
      <c r="CR6" s="44"/>
      <c r="CS6" s="45"/>
      <c r="CT6" s="45"/>
      <c r="CU6" s="45"/>
      <c r="CV6" s="45"/>
      <c r="CW6" s="45"/>
      <c r="CX6" s="45"/>
      <c r="CY6" s="45"/>
      <c r="CZ6" s="45"/>
      <c r="DA6" s="45"/>
      <c r="DB6" s="45"/>
      <c r="DC6" s="45"/>
      <c r="DD6" s="45"/>
      <c r="DE6" s="45"/>
      <c r="DF6" s="45"/>
      <c r="DG6" s="45"/>
      <c r="DH6" s="45"/>
      <c r="DI6" s="45"/>
      <c r="DJ6" s="45"/>
      <c r="DK6" s="45"/>
      <c r="DL6" s="46"/>
      <c r="DM6" s="44"/>
      <c r="DN6" s="45"/>
      <c r="DO6" s="45"/>
      <c r="DP6" s="45"/>
      <c r="DQ6" s="45"/>
      <c r="DR6" s="45"/>
      <c r="DS6" s="45"/>
      <c r="DT6" s="45"/>
      <c r="DU6" s="45"/>
      <c r="DV6" s="45"/>
      <c r="DW6" s="45"/>
      <c r="DX6" s="45"/>
      <c r="DY6" s="45"/>
      <c r="DZ6" s="45"/>
      <c r="EA6" s="45"/>
      <c r="EB6" s="45"/>
      <c r="EC6" s="45"/>
      <c r="ED6" s="45"/>
      <c r="EE6" s="45"/>
      <c r="EF6" s="45"/>
      <c r="EG6" s="46"/>
    </row>
    <row r="7" spans="1:137" ht="18.75" x14ac:dyDescent="0.25">
      <c r="A7" s="4" t="s">
        <v>117</v>
      </c>
      <c r="B7" s="2">
        <v>598</v>
      </c>
      <c r="C7" s="4">
        <f>I1</f>
        <v>16300</v>
      </c>
      <c r="D7" s="4">
        <v>2.4119999999999999</v>
      </c>
      <c r="E7" s="4">
        <v>2.673</v>
      </c>
      <c r="F7" s="4">
        <v>3.1080000000000001</v>
      </c>
      <c r="G7" s="4">
        <v>2.2040000000000002</v>
      </c>
      <c r="H7" s="4">
        <v>2.4649999999999999</v>
      </c>
      <c r="I7" s="89">
        <v>2.9</v>
      </c>
      <c r="J7" s="93"/>
      <c r="K7" s="27"/>
      <c r="L7" s="94"/>
      <c r="M7" s="93"/>
      <c r="N7" s="27"/>
      <c r="O7" s="94"/>
      <c r="P7" s="93"/>
      <c r="Q7" s="27"/>
      <c r="R7" s="94"/>
      <c r="S7" s="93"/>
      <c r="T7" s="27"/>
      <c r="U7" s="94"/>
      <c r="V7" s="93"/>
      <c r="W7" s="27"/>
      <c r="X7" s="94"/>
      <c r="Y7" s="93"/>
      <c r="Z7" s="27"/>
      <c r="AA7" s="94"/>
      <c r="AB7" s="93"/>
      <c r="AC7" s="27"/>
      <c r="AD7" s="94"/>
      <c r="AE7" s="45"/>
      <c r="AF7" s="45"/>
      <c r="AG7" s="45"/>
      <c r="AH7" s="45"/>
      <c r="AI7" s="45"/>
      <c r="AJ7" s="45"/>
      <c r="AK7" s="45"/>
      <c r="AL7" s="45"/>
      <c r="AM7" s="45"/>
      <c r="AN7" s="45"/>
      <c r="AO7" s="45"/>
      <c r="AP7" s="45"/>
      <c r="AQ7" s="45"/>
      <c r="AR7" s="45"/>
      <c r="AS7" s="45"/>
      <c r="AT7" s="45"/>
      <c r="AU7" s="45"/>
      <c r="AV7" s="45"/>
      <c r="AW7" s="45"/>
      <c r="AX7" s="45"/>
      <c r="AY7" s="46"/>
      <c r="AZ7" s="44"/>
      <c r="BA7" s="45"/>
      <c r="BB7" s="45"/>
      <c r="BC7" s="45"/>
      <c r="BD7" s="45"/>
      <c r="BE7" s="45"/>
      <c r="BF7" s="45"/>
      <c r="BG7" s="45"/>
      <c r="BH7" s="45"/>
      <c r="BI7" s="45"/>
      <c r="BJ7" s="45"/>
      <c r="BK7" s="45"/>
      <c r="BL7" s="45"/>
      <c r="BM7" s="45"/>
      <c r="BN7" s="45"/>
      <c r="BO7" s="45"/>
      <c r="BP7" s="45"/>
      <c r="BQ7" s="45"/>
      <c r="BR7" s="45"/>
      <c r="BS7" s="45"/>
      <c r="BT7" s="46"/>
      <c r="BU7" s="44"/>
      <c r="BV7" s="45"/>
      <c r="BW7" s="45"/>
      <c r="BX7" s="45"/>
      <c r="BY7" s="45"/>
      <c r="BZ7" s="45"/>
      <c r="CA7" s="45"/>
      <c r="CB7" s="45"/>
      <c r="CC7" s="45"/>
      <c r="CD7" s="45"/>
      <c r="CE7" s="45"/>
      <c r="CF7" s="45"/>
      <c r="CG7" s="45"/>
      <c r="CH7" s="45"/>
      <c r="CI7" s="45"/>
      <c r="CJ7" s="45"/>
      <c r="CK7" s="45"/>
      <c r="CL7" s="45"/>
      <c r="CM7" s="45"/>
      <c r="CN7" s="45"/>
      <c r="CO7" s="46"/>
      <c r="CP7" s="34"/>
      <c r="CQ7" s="62"/>
      <c r="CR7" s="44"/>
      <c r="CS7" s="45"/>
      <c r="CT7" s="45"/>
      <c r="CU7" s="45"/>
      <c r="CV7" s="45"/>
      <c r="CW7" s="45"/>
      <c r="CX7" s="45"/>
      <c r="CY7" s="45"/>
      <c r="CZ7" s="45"/>
      <c r="DA7" s="45"/>
      <c r="DB7" s="45"/>
      <c r="DC7" s="45"/>
      <c r="DD7" s="45"/>
      <c r="DE7" s="45"/>
      <c r="DF7" s="45"/>
      <c r="DG7" s="45"/>
      <c r="DH7" s="45"/>
      <c r="DI7" s="45"/>
      <c r="DJ7" s="45"/>
      <c r="DK7" s="45"/>
      <c r="DL7" s="46"/>
      <c r="DM7" s="44"/>
      <c r="DN7" s="45"/>
      <c r="DO7" s="45"/>
      <c r="DP7" s="45"/>
      <c r="DQ7" s="45"/>
      <c r="DR7" s="45"/>
      <c r="DS7" s="45"/>
      <c r="DT7" s="45"/>
      <c r="DU7" s="45"/>
      <c r="DV7" s="45"/>
      <c r="DW7" s="45"/>
      <c r="DX7" s="45"/>
      <c r="DY7" s="45"/>
      <c r="DZ7" s="45"/>
      <c r="EA7" s="45"/>
      <c r="EB7" s="45"/>
      <c r="EC7" s="45"/>
      <c r="ED7" s="45"/>
      <c r="EE7" s="45"/>
      <c r="EF7" s="45"/>
      <c r="EG7" s="46"/>
    </row>
    <row r="8" spans="1:137" ht="18.75" x14ac:dyDescent="0.25">
      <c r="A8" s="4" t="s">
        <v>215</v>
      </c>
      <c r="B8" s="2" t="s">
        <v>216</v>
      </c>
      <c r="C8" s="4">
        <f>I1</f>
        <v>16300</v>
      </c>
      <c r="D8" s="4">
        <v>1.1479999999999999</v>
      </c>
      <c r="E8" s="4">
        <v>1.274</v>
      </c>
      <c r="F8" s="4">
        <v>1.484</v>
      </c>
      <c r="G8" s="4">
        <v>1.0640000000000001</v>
      </c>
      <c r="H8" s="4">
        <v>1.19</v>
      </c>
      <c r="I8" s="89">
        <v>1.4</v>
      </c>
      <c r="J8" s="93"/>
      <c r="K8" s="27"/>
      <c r="L8" s="94"/>
      <c r="M8" s="93"/>
      <c r="N8" s="27"/>
      <c r="O8" s="94"/>
      <c r="P8" s="93"/>
      <c r="Q8" s="27"/>
      <c r="R8" s="94"/>
      <c r="S8" s="93"/>
      <c r="T8" s="27"/>
      <c r="U8" s="94"/>
      <c r="V8" s="93"/>
      <c r="W8" s="27"/>
      <c r="X8" s="94"/>
      <c r="Y8" s="93"/>
      <c r="Z8" s="27"/>
      <c r="AA8" s="94"/>
      <c r="AB8" s="93"/>
      <c r="AC8" s="27"/>
      <c r="AD8" s="94"/>
      <c r="AE8" s="45"/>
      <c r="AF8" s="45"/>
      <c r="AG8" s="45"/>
      <c r="AH8" s="45"/>
      <c r="AI8" s="45"/>
      <c r="AJ8" s="45"/>
      <c r="AK8" s="45"/>
      <c r="AL8" s="45"/>
      <c r="AM8" s="45"/>
      <c r="AN8" s="45"/>
      <c r="AO8" s="45"/>
      <c r="AP8" s="45"/>
      <c r="AQ8" s="45"/>
      <c r="AR8" s="45"/>
      <c r="AS8" s="45"/>
      <c r="AT8" s="45"/>
      <c r="AU8" s="45"/>
      <c r="AV8" s="45"/>
      <c r="AW8" s="45"/>
      <c r="AX8" s="45"/>
      <c r="AY8" s="46"/>
      <c r="AZ8" s="44"/>
      <c r="BA8" s="45"/>
      <c r="BB8" s="45"/>
      <c r="BC8" s="45"/>
      <c r="BD8" s="45"/>
      <c r="BE8" s="45"/>
      <c r="BF8" s="45"/>
      <c r="BG8" s="45"/>
      <c r="BH8" s="45"/>
      <c r="BI8" s="45"/>
      <c r="BJ8" s="45"/>
      <c r="BK8" s="45"/>
      <c r="BL8" s="45"/>
      <c r="BM8" s="45"/>
      <c r="BN8" s="45"/>
      <c r="BO8" s="45"/>
      <c r="BP8" s="45"/>
      <c r="BQ8" s="45"/>
      <c r="BR8" s="45"/>
      <c r="BS8" s="45"/>
      <c r="BT8" s="46"/>
      <c r="BU8" s="44"/>
      <c r="BV8" s="45"/>
      <c r="BW8" s="45"/>
      <c r="BX8" s="45"/>
      <c r="BY8" s="45"/>
      <c r="BZ8" s="45"/>
      <c r="CA8" s="45"/>
      <c r="CB8" s="45"/>
      <c r="CC8" s="45"/>
      <c r="CD8" s="45"/>
      <c r="CE8" s="45"/>
      <c r="CF8" s="45"/>
      <c r="CG8" s="45"/>
      <c r="CH8" s="45"/>
      <c r="CI8" s="45"/>
      <c r="CJ8" s="45"/>
      <c r="CK8" s="45"/>
      <c r="CL8" s="45"/>
      <c r="CM8" s="45"/>
      <c r="CN8" s="45"/>
      <c r="CO8" s="46"/>
      <c r="CP8" s="34"/>
      <c r="CQ8" s="62"/>
      <c r="CR8" s="44"/>
      <c r="CS8" s="45"/>
      <c r="CT8" s="45"/>
      <c r="CU8" s="45"/>
      <c r="CV8" s="45"/>
      <c r="CW8" s="45"/>
      <c r="CX8" s="45"/>
      <c r="CY8" s="45"/>
      <c r="CZ8" s="45"/>
      <c r="DA8" s="45"/>
      <c r="DB8" s="45"/>
      <c r="DC8" s="45"/>
      <c r="DD8" s="45"/>
      <c r="DE8" s="45"/>
      <c r="DF8" s="45"/>
      <c r="DG8" s="45"/>
      <c r="DH8" s="45"/>
      <c r="DI8" s="45"/>
      <c r="DJ8" s="45"/>
      <c r="DK8" s="45"/>
      <c r="DL8" s="46"/>
      <c r="DM8" s="44"/>
      <c r="DN8" s="45"/>
      <c r="DO8" s="45"/>
      <c r="DP8" s="45"/>
      <c r="DQ8" s="45"/>
      <c r="DR8" s="45"/>
      <c r="DS8" s="45"/>
      <c r="DT8" s="45"/>
      <c r="DU8" s="45"/>
      <c r="DV8" s="45"/>
      <c r="DW8" s="45"/>
      <c r="DX8" s="45"/>
      <c r="DY8" s="45"/>
      <c r="DZ8" s="45"/>
      <c r="EA8" s="45"/>
      <c r="EB8" s="45"/>
      <c r="EC8" s="45"/>
      <c r="ED8" s="45"/>
      <c r="EE8" s="45"/>
      <c r="EF8" s="45"/>
      <c r="EG8" s="46"/>
    </row>
    <row r="9" spans="1:137" ht="18.75" x14ac:dyDescent="0.25">
      <c r="A9" s="4" t="s">
        <v>215</v>
      </c>
      <c r="B9" s="2" t="s">
        <v>218</v>
      </c>
      <c r="C9" s="4">
        <f>I1</f>
        <v>16300</v>
      </c>
      <c r="D9" s="4">
        <v>3.8879999999999999</v>
      </c>
      <c r="E9" s="4">
        <v>4.2889999999999997</v>
      </c>
      <c r="F9" s="4">
        <v>4.9560000000000004</v>
      </c>
      <c r="G9" s="4">
        <v>3.3820000000000001</v>
      </c>
      <c r="H9" s="4">
        <v>3.7829999999999999</v>
      </c>
      <c r="I9" s="89">
        <v>4.45</v>
      </c>
      <c r="J9" s="93"/>
      <c r="K9" s="27"/>
      <c r="L9" s="94"/>
      <c r="M9" s="93"/>
      <c r="N9" s="27"/>
      <c r="O9" s="94"/>
      <c r="P9" s="93"/>
      <c r="Q9" s="27"/>
      <c r="R9" s="94"/>
      <c r="S9" s="93"/>
      <c r="T9" s="27"/>
      <c r="U9" s="94"/>
      <c r="V9" s="93"/>
      <c r="W9" s="27"/>
      <c r="X9" s="94"/>
      <c r="Y9" s="93"/>
      <c r="Z9" s="27"/>
      <c r="AA9" s="94"/>
      <c r="AB9" s="93"/>
      <c r="AC9" s="27"/>
      <c r="AD9" s="94"/>
      <c r="AE9" s="45"/>
      <c r="AF9" s="45"/>
      <c r="AG9" s="45"/>
      <c r="AH9" s="45"/>
      <c r="AI9" s="45"/>
      <c r="AJ9" s="45"/>
      <c r="AK9" s="45"/>
      <c r="AL9" s="45"/>
      <c r="AM9" s="45"/>
      <c r="AN9" s="45"/>
      <c r="AO9" s="45"/>
      <c r="AP9" s="45"/>
      <c r="AQ9" s="45"/>
      <c r="AR9" s="45"/>
      <c r="AS9" s="45"/>
      <c r="AT9" s="45"/>
      <c r="AU9" s="45"/>
      <c r="AV9" s="45"/>
      <c r="AW9" s="45"/>
      <c r="AX9" s="45"/>
      <c r="AY9" s="46"/>
      <c r="AZ9" s="44"/>
      <c r="BA9" s="45"/>
      <c r="BB9" s="45"/>
      <c r="BC9" s="45"/>
      <c r="BD9" s="45"/>
      <c r="BE9" s="45"/>
      <c r="BF9" s="45"/>
      <c r="BG9" s="45"/>
      <c r="BH9" s="45"/>
      <c r="BI9" s="45"/>
      <c r="BJ9" s="45"/>
      <c r="BK9" s="45"/>
      <c r="BL9" s="45"/>
      <c r="BM9" s="45"/>
      <c r="BN9" s="45"/>
      <c r="BO9" s="45"/>
      <c r="BP9" s="45"/>
      <c r="BQ9" s="45"/>
      <c r="BR9" s="45"/>
      <c r="BS9" s="45"/>
      <c r="BT9" s="46"/>
      <c r="BU9" s="44"/>
      <c r="BV9" s="45"/>
      <c r="BW9" s="45"/>
      <c r="BX9" s="45"/>
      <c r="BY9" s="45"/>
      <c r="BZ9" s="45"/>
      <c r="CA9" s="45"/>
      <c r="CB9" s="45"/>
      <c r="CC9" s="45"/>
      <c r="CD9" s="45"/>
      <c r="CE9" s="45"/>
      <c r="CF9" s="45"/>
      <c r="CG9" s="45"/>
      <c r="CH9" s="45"/>
      <c r="CI9" s="45"/>
      <c r="CJ9" s="45"/>
      <c r="CK9" s="45"/>
      <c r="CL9" s="45"/>
      <c r="CM9" s="45"/>
      <c r="CN9" s="45"/>
      <c r="CO9" s="46"/>
      <c r="CP9" s="34"/>
      <c r="CQ9" s="62"/>
      <c r="CR9" s="44"/>
      <c r="CS9" s="45"/>
      <c r="CT9" s="45"/>
      <c r="CU9" s="45"/>
      <c r="CV9" s="45"/>
      <c r="CW9" s="45"/>
      <c r="CX9" s="45"/>
      <c r="CY9" s="45"/>
      <c r="CZ9" s="45"/>
      <c r="DA9" s="45"/>
      <c r="DB9" s="45"/>
      <c r="DC9" s="45"/>
      <c r="DD9" s="45"/>
      <c r="DE9" s="45"/>
      <c r="DF9" s="45"/>
      <c r="DG9" s="45"/>
      <c r="DH9" s="45"/>
      <c r="DI9" s="45"/>
      <c r="DJ9" s="45"/>
      <c r="DK9" s="45"/>
      <c r="DL9" s="46"/>
      <c r="DM9" s="44"/>
      <c r="DN9" s="45"/>
      <c r="DO9" s="45"/>
      <c r="DP9" s="45"/>
      <c r="DQ9" s="45"/>
      <c r="DR9" s="45"/>
      <c r="DS9" s="45"/>
      <c r="DT9" s="45"/>
      <c r="DU9" s="45"/>
      <c r="DV9" s="45"/>
      <c r="DW9" s="45"/>
      <c r="DX9" s="45"/>
      <c r="DY9" s="45"/>
      <c r="DZ9" s="45"/>
      <c r="EA9" s="45"/>
      <c r="EB9" s="45"/>
      <c r="EC9" s="45"/>
      <c r="ED9" s="45"/>
      <c r="EE9" s="45"/>
      <c r="EF9" s="45"/>
      <c r="EG9" s="46"/>
    </row>
    <row r="10" spans="1:137" ht="18.75" x14ac:dyDescent="0.25">
      <c r="A10" s="4" t="s">
        <v>215</v>
      </c>
      <c r="B10" s="2" t="s">
        <v>219</v>
      </c>
      <c r="C10" s="4">
        <f>I1</f>
        <v>16300</v>
      </c>
      <c r="D10" s="4">
        <v>3.56</v>
      </c>
      <c r="E10" s="4">
        <v>3.911</v>
      </c>
      <c r="F10" s="4">
        <v>4.4960000000000004</v>
      </c>
      <c r="G10" s="4">
        <v>2.964</v>
      </c>
      <c r="H10" s="4">
        <v>3.3149999999999999</v>
      </c>
      <c r="I10" s="89">
        <v>3.9</v>
      </c>
      <c r="J10" s="93"/>
      <c r="K10" s="27"/>
      <c r="L10" s="94"/>
      <c r="M10" s="93"/>
      <c r="N10" s="27"/>
      <c r="O10" s="94"/>
      <c r="P10" s="93"/>
      <c r="Q10" s="27"/>
      <c r="R10" s="94"/>
      <c r="S10" s="93"/>
      <c r="T10" s="27"/>
      <c r="U10" s="94"/>
      <c r="V10" s="93"/>
      <c r="W10" s="27"/>
      <c r="X10" s="94"/>
      <c r="Y10" s="93"/>
      <c r="Z10" s="27"/>
      <c r="AA10" s="94"/>
      <c r="AB10" s="93"/>
      <c r="AC10" s="27"/>
      <c r="AD10" s="94"/>
      <c r="AE10" s="45"/>
      <c r="AF10" s="45"/>
      <c r="AG10" s="45"/>
      <c r="AH10" s="45"/>
      <c r="AI10" s="45"/>
      <c r="AJ10" s="45"/>
      <c r="AK10" s="45"/>
      <c r="AL10" s="45"/>
      <c r="AM10" s="45"/>
      <c r="AN10" s="45"/>
      <c r="AO10" s="45"/>
      <c r="AP10" s="45"/>
      <c r="AQ10" s="45"/>
      <c r="AR10" s="45"/>
      <c r="AS10" s="45"/>
      <c r="AT10" s="45"/>
      <c r="AU10" s="45"/>
      <c r="AV10" s="45"/>
      <c r="AW10" s="45"/>
      <c r="AX10" s="45"/>
      <c r="AY10" s="46"/>
      <c r="AZ10" s="44"/>
      <c r="BA10" s="45"/>
      <c r="BB10" s="45"/>
      <c r="BC10" s="45"/>
      <c r="BD10" s="45"/>
      <c r="BE10" s="45"/>
      <c r="BF10" s="45"/>
      <c r="BG10" s="45"/>
      <c r="BH10" s="45"/>
      <c r="BI10" s="45"/>
      <c r="BJ10" s="45"/>
      <c r="BK10" s="45"/>
      <c r="BL10" s="45"/>
      <c r="BM10" s="45"/>
      <c r="BN10" s="45"/>
      <c r="BO10" s="45"/>
      <c r="BP10" s="45"/>
      <c r="BQ10" s="45"/>
      <c r="BR10" s="45"/>
      <c r="BS10" s="45"/>
      <c r="BT10" s="46"/>
      <c r="BU10" s="44"/>
      <c r="BV10" s="45"/>
      <c r="BW10" s="45"/>
      <c r="BX10" s="45"/>
      <c r="BY10" s="45"/>
      <c r="BZ10" s="45"/>
      <c r="CA10" s="45"/>
      <c r="CB10" s="45"/>
      <c r="CC10" s="45"/>
      <c r="CD10" s="45"/>
      <c r="CE10" s="45"/>
      <c r="CF10" s="45"/>
      <c r="CG10" s="45"/>
      <c r="CH10" s="45"/>
      <c r="CI10" s="45"/>
      <c r="CJ10" s="45"/>
      <c r="CK10" s="45"/>
      <c r="CL10" s="45"/>
      <c r="CM10" s="45"/>
      <c r="CN10" s="45"/>
      <c r="CO10" s="46"/>
      <c r="CP10" s="34"/>
      <c r="CQ10" s="62"/>
      <c r="CR10" s="44"/>
      <c r="CS10" s="45"/>
      <c r="CT10" s="45"/>
      <c r="CU10" s="45"/>
      <c r="CV10" s="45"/>
      <c r="CW10" s="45"/>
      <c r="CX10" s="45"/>
      <c r="CY10" s="45"/>
      <c r="CZ10" s="45"/>
      <c r="DA10" s="45"/>
      <c r="DB10" s="45"/>
      <c r="DC10" s="45"/>
      <c r="DD10" s="45"/>
      <c r="DE10" s="45"/>
      <c r="DF10" s="45"/>
      <c r="DG10" s="45"/>
      <c r="DH10" s="45"/>
      <c r="DI10" s="45"/>
      <c r="DJ10" s="45"/>
      <c r="DK10" s="45"/>
      <c r="DL10" s="46"/>
      <c r="DM10" s="44"/>
      <c r="DN10" s="45"/>
      <c r="DO10" s="45"/>
      <c r="DP10" s="45"/>
      <c r="DQ10" s="45"/>
      <c r="DR10" s="45"/>
      <c r="DS10" s="45"/>
      <c r="DT10" s="45"/>
      <c r="DU10" s="45"/>
      <c r="DV10" s="45"/>
      <c r="DW10" s="45"/>
      <c r="DX10" s="45"/>
      <c r="DY10" s="45"/>
      <c r="DZ10" s="45"/>
      <c r="EA10" s="45"/>
      <c r="EB10" s="45"/>
      <c r="EC10" s="45"/>
      <c r="ED10" s="45"/>
      <c r="EE10" s="45"/>
      <c r="EF10" s="45"/>
      <c r="EG10" s="46"/>
    </row>
    <row r="11" spans="1:137" ht="18.75" x14ac:dyDescent="0.25">
      <c r="A11" s="4" t="s">
        <v>215</v>
      </c>
      <c r="B11" s="2" t="s">
        <v>220</v>
      </c>
      <c r="C11" s="4">
        <f>I1</f>
        <v>16300</v>
      </c>
      <c r="D11" s="4">
        <v>3.1179999999999999</v>
      </c>
      <c r="E11" s="4">
        <v>3.3929999999999998</v>
      </c>
      <c r="F11" s="4">
        <v>3.85</v>
      </c>
      <c r="G11" s="4">
        <v>2.3180000000000001</v>
      </c>
      <c r="H11" s="4">
        <v>2.593</v>
      </c>
      <c r="I11" s="89">
        <v>3.05</v>
      </c>
      <c r="J11" s="93"/>
      <c r="K11" s="27"/>
      <c r="L11" s="94"/>
      <c r="M11" s="93"/>
      <c r="N11" s="27"/>
      <c r="O11" s="94"/>
      <c r="P11" s="93"/>
      <c r="Q11" s="27"/>
      <c r="R11" s="94"/>
      <c r="S11" s="93"/>
      <c r="T11" s="27"/>
      <c r="U11" s="94"/>
      <c r="V11" s="93"/>
      <c r="W11" s="27"/>
      <c r="X11" s="94"/>
      <c r="Y11" s="93"/>
      <c r="Z11" s="27"/>
      <c r="AA11" s="94"/>
      <c r="AB11" s="93"/>
      <c r="AC11" s="27"/>
      <c r="AD11" s="94"/>
      <c r="AE11" s="45"/>
      <c r="AF11" s="45"/>
      <c r="AG11" s="45"/>
      <c r="AH11" s="45"/>
      <c r="AI11" s="45"/>
      <c r="AJ11" s="45"/>
      <c r="AK11" s="45"/>
      <c r="AL11" s="45"/>
      <c r="AM11" s="45"/>
      <c r="AN11" s="45"/>
      <c r="AO11" s="45"/>
      <c r="AP11" s="45"/>
      <c r="AQ11" s="45"/>
      <c r="AR11" s="45"/>
      <c r="AS11" s="45"/>
      <c r="AT11" s="45"/>
      <c r="AU11" s="45"/>
      <c r="AV11" s="45"/>
      <c r="AW11" s="45"/>
      <c r="AX11" s="45"/>
      <c r="AY11" s="46"/>
      <c r="AZ11" s="44"/>
      <c r="BA11" s="45"/>
      <c r="BB11" s="45"/>
      <c r="BC11" s="45"/>
      <c r="BD11" s="45"/>
      <c r="BE11" s="45"/>
      <c r="BF11" s="45"/>
      <c r="BG11" s="45"/>
      <c r="BH11" s="45"/>
      <c r="BI11" s="45"/>
      <c r="BJ11" s="45"/>
      <c r="BK11" s="45"/>
      <c r="BL11" s="45"/>
      <c r="BM11" s="45"/>
      <c r="BN11" s="45"/>
      <c r="BO11" s="45"/>
      <c r="BP11" s="45"/>
      <c r="BQ11" s="45"/>
      <c r="BR11" s="45"/>
      <c r="BS11" s="45"/>
      <c r="BT11" s="46"/>
      <c r="BU11" s="44"/>
      <c r="BV11" s="45"/>
      <c r="BW11" s="45"/>
      <c r="BX11" s="45"/>
      <c r="BY11" s="45"/>
      <c r="BZ11" s="45"/>
      <c r="CA11" s="45"/>
      <c r="CB11" s="45"/>
      <c r="CC11" s="45"/>
      <c r="CD11" s="45"/>
      <c r="CE11" s="45"/>
      <c r="CF11" s="45"/>
      <c r="CG11" s="45"/>
      <c r="CH11" s="45"/>
      <c r="CI11" s="45"/>
      <c r="CJ11" s="45"/>
      <c r="CK11" s="45"/>
      <c r="CL11" s="45"/>
      <c r="CM11" s="45"/>
      <c r="CN11" s="45"/>
      <c r="CO11" s="46"/>
      <c r="CP11" s="34"/>
      <c r="CQ11" s="62"/>
      <c r="CR11" s="44"/>
      <c r="CS11" s="45"/>
      <c r="CT11" s="45"/>
      <c r="CU11" s="45"/>
      <c r="CV11" s="45"/>
      <c r="CW11" s="45"/>
      <c r="CX11" s="45"/>
      <c r="CY11" s="45"/>
      <c r="CZ11" s="45"/>
      <c r="DA11" s="45"/>
      <c r="DB11" s="45"/>
      <c r="DC11" s="45"/>
      <c r="DD11" s="45"/>
      <c r="DE11" s="45"/>
      <c r="DF11" s="45"/>
      <c r="DG11" s="45"/>
      <c r="DH11" s="45"/>
      <c r="DI11" s="45"/>
      <c r="DJ11" s="45"/>
      <c r="DK11" s="45"/>
      <c r="DL11" s="46"/>
      <c r="DM11" s="44"/>
      <c r="DN11" s="45"/>
      <c r="DO11" s="45"/>
      <c r="DP11" s="45"/>
      <c r="DQ11" s="45"/>
      <c r="DR11" s="45"/>
      <c r="DS11" s="45"/>
      <c r="DT11" s="45"/>
      <c r="DU11" s="45"/>
      <c r="DV11" s="45"/>
      <c r="DW11" s="45"/>
      <c r="DX11" s="45"/>
      <c r="DY11" s="45"/>
      <c r="DZ11" s="45"/>
      <c r="EA11" s="45"/>
      <c r="EB11" s="45"/>
      <c r="EC11" s="45"/>
      <c r="ED11" s="45"/>
      <c r="EE11" s="45"/>
      <c r="EF11" s="45"/>
      <c r="EG11" s="46"/>
    </row>
    <row r="12" spans="1:137" ht="18.75" x14ac:dyDescent="0.25">
      <c r="A12" s="4" t="s">
        <v>6</v>
      </c>
      <c r="B12" s="2" t="s">
        <v>221</v>
      </c>
      <c r="C12" s="4">
        <f>I1</f>
        <v>16300</v>
      </c>
      <c r="D12" s="4">
        <v>2.3199999999999998</v>
      </c>
      <c r="E12" s="4">
        <v>2.5680000000000001</v>
      </c>
      <c r="F12" s="4">
        <v>2.98</v>
      </c>
      <c r="G12" s="4">
        <v>2.09</v>
      </c>
      <c r="H12" s="4">
        <v>2.3380000000000001</v>
      </c>
      <c r="I12" s="89">
        <v>2.75</v>
      </c>
      <c r="J12" s="95">
        <v>2.3199999999999998</v>
      </c>
      <c r="K12" s="4">
        <v>2.5680000000000001</v>
      </c>
      <c r="L12" s="96">
        <v>2.98</v>
      </c>
      <c r="M12" s="97">
        <f t="shared" ref="M12:V13" si="0">J12+0.1</f>
        <v>2.42</v>
      </c>
      <c r="N12" s="2">
        <f t="shared" si="0"/>
        <v>2.6680000000000001</v>
      </c>
      <c r="O12" s="98">
        <f t="shared" si="0"/>
        <v>3.08</v>
      </c>
      <c r="P12" s="97">
        <f t="shared" si="0"/>
        <v>2.52</v>
      </c>
      <c r="Q12" s="2">
        <f t="shared" si="0"/>
        <v>2.7680000000000002</v>
      </c>
      <c r="R12" s="98">
        <f t="shared" si="0"/>
        <v>3.18</v>
      </c>
      <c r="S12" s="97">
        <f t="shared" si="0"/>
        <v>2.62</v>
      </c>
      <c r="T12" s="2">
        <f t="shared" si="0"/>
        <v>2.8680000000000003</v>
      </c>
      <c r="U12" s="98">
        <f t="shared" si="0"/>
        <v>3.2800000000000002</v>
      </c>
      <c r="V12" s="97">
        <f t="shared" si="0"/>
        <v>2.72</v>
      </c>
      <c r="W12" s="2">
        <f t="shared" ref="W12:AD13" si="1">T12+0.1</f>
        <v>2.9680000000000004</v>
      </c>
      <c r="X12" s="98">
        <f t="shared" si="1"/>
        <v>3.3800000000000003</v>
      </c>
      <c r="Y12" s="97">
        <f t="shared" si="1"/>
        <v>2.8200000000000003</v>
      </c>
      <c r="Z12" s="2">
        <f t="shared" si="1"/>
        <v>3.0680000000000005</v>
      </c>
      <c r="AA12" s="98">
        <f t="shared" si="1"/>
        <v>3.4800000000000004</v>
      </c>
      <c r="AB12" s="97">
        <f t="shared" si="1"/>
        <v>2.9200000000000004</v>
      </c>
      <c r="AC12" s="2">
        <f t="shared" si="1"/>
        <v>3.1680000000000006</v>
      </c>
      <c r="AD12" s="98">
        <f t="shared" si="1"/>
        <v>3.5800000000000005</v>
      </c>
      <c r="AE12" s="53">
        <v>2.09</v>
      </c>
      <c r="AF12" s="2">
        <v>2.3380000000000001</v>
      </c>
      <c r="AG12" s="2">
        <v>2.75</v>
      </c>
      <c r="AH12" s="41">
        <f t="shared" ref="AH12:AY12" si="2">AE12+0.1</f>
        <v>2.19</v>
      </c>
      <c r="AI12" s="41">
        <f t="shared" si="2"/>
        <v>2.4380000000000002</v>
      </c>
      <c r="AJ12" s="41">
        <f t="shared" si="2"/>
        <v>2.85</v>
      </c>
      <c r="AK12" s="41">
        <f t="shared" si="2"/>
        <v>2.29</v>
      </c>
      <c r="AL12" s="42">
        <f t="shared" si="2"/>
        <v>2.5380000000000003</v>
      </c>
      <c r="AM12" s="42">
        <f t="shared" si="2"/>
        <v>2.95</v>
      </c>
      <c r="AN12" s="42">
        <f t="shared" si="2"/>
        <v>2.39</v>
      </c>
      <c r="AO12" s="42">
        <f t="shared" si="2"/>
        <v>2.6380000000000003</v>
      </c>
      <c r="AP12" s="42">
        <f t="shared" si="2"/>
        <v>3.0500000000000003</v>
      </c>
      <c r="AQ12" s="42">
        <f t="shared" si="2"/>
        <v>2.4900000000000002</v>
      </c>
      <c r="AR12" s="42">
        <f t="shared" si="2"/>
        <v>2.7380000000000004</v>
      </c>
      <c r="AS12" s="42">
        <f t="shared" si="2"/>
        <v>3.1500000000000004</v>
      </c>
      <c r="AT12" s="42">
        <f t="shared" si="2"/>
        <v>2.5900000000000003</v>
      </c>
      <c r="AU12" s="42">
        <f t="shared" si="2"/>
        <v>2.8380000000000005</v>
      </c>
      <c r="AV12" s="42">
        <f t="shared" si="2"/>
        <v>3.2500000000000004</v>
      </c>
      <c r="AW12" s="42">
        <f t="shared" si="2"/>
        <v>2.6900000000000004</v>
      </c>
      <c r="AX12" s="42">
        <f t="shared" si="2"/>
        <v>2.9380000000000006</v>
      </c>
      <c r="AY12" s="47">
        <f t="shared" si="2"/>
        <v>3.3500000000000005</v>
      </c>
      <c r="AZ12" s="51">
        <f>AE12*C12*0.375</f>
        <v>12775.125</v>
      </c>
      <c r="BA12" s="3">
        <f>AF12*C12*0.583</f>
        <v>22217.780200000001</v>
      </c>
      <c r="BB12" s="3">
        <f>AG12*C12*0.75</f>
        <v>33618.75</v>
      </c>
      <c r="BC12" s="41">
        <f>AH12*C12*0.375</f>
        <v>13386.375</v>
      </c>
      <c r="BD12" s="41">
        <f>AI12*C12*0.583</f>
        <v>23168.070199999998</v>
      </c>
      <c r="BE12" s="41">
        <f>AJ12*C12*0.75</f>
        <v>34841.25</v>
      </c>
      <c r="BF12" s="41">
        <f>AK12*C12*0.375</f>
        <v>13997.625</v>
      </c>
      <c r="BG12" s="42">
        <f>AL12*C12*0.583</f>
        <v>24118.360199999999</v>
      </c>
      <c r="BH12" s="42">
        <f>AM12*C12*0.75</f>
        <v>36063.75</v>
      </c>
      <c r="BI12" s="42">
        <f>AN12*C12*0.375</f>
        <v>14608.875</v>
      </c>
      <c r="BJ12" s="42">
        <f>AO12*C12*0.583</f>
        <v>25068.650200000004</v>
      </c>
      <c r="BK12" s="42">
        <f>AP12*C12*0.75</f>
        <v>37286.250000000007</v>
      </c>
      <c r="BL12" s="42">
        <f>AQ12*C12*0.375</f>
        <v>15220.125</v>
      </c>
      <c r="BM12" s="42">
        <f>AR12*C12*0.583</f>
        <v>26018.940200000005</v>
      </c>
      <c r="BN12" s="42">
        <f>AS12*C12*0.75</f>
        <v>38508.750000000007</v>
      </c>
      <c r="BO12" s="42">
        <f>AT12*C12*0.375</f>
        <v>15831.375000000004</v>
      </c>
      <c r="BP12" s="42">
        <f>AU12*C12*0.583</f>
        <v>26969.230200000002</v>
      </c>
      <c r="BQ12" s="42">
        <f>AV12*C12*0.75</f>
        <v>39731.250000000007</v>
      </c>
      <c r="BR12" s="42">
        <f>AW12*C12*0.375</f>
        <v>16442.625000000004</v>
      </c>
      <c r="BS12" s="42">
        <f>AX12*C12*0.583</f>
        <v>27919.520200000003</v>
      </c>
      <c r="BT12" s="47">
        <f>AY12*C12*0.75</f>
        <v>40953.750000000007</v>
      </c>
      <c r="BU12" s="51">
        <f t="shared" ref="BU12:CD13" si="3">AE12*1500</f>
        <v>3135</v>
      </c>
      <c r="BV12" s="3">
        <f t="shared" si="3"/>
        <v>3507</v>
      </c>
      <c r="BW12" s="3">
        <f t="shared" si="3"/>
        <v>4125</v>
      </c>
      <c r="BX12" s="51">
        <f t="shared" si="3"/>
        <v>3285</v>
      </c>
      <c r="BY12" s="3">
        <f t="shared" si="3"/>
        <v>3657.0000000000005</v>
      </c>
      <c r="BZ12" s="3">
        <f t="shared" si="3"/>
        <v>4275</v>
      </c>
      <c r="CA12" s="51">
        <f t="shared" si="3"/>
        <v>3435</v>
      </c>
      <c r="CB12" s="3">
        <f t="shared" si="3"/>
        <v>3807.0000000000005</v>
      </c>
      <c r="CC12" s="3">
        <f t="shared" si="3"/>
        <v>4425</v>
      </c>
      <c r="CD12" s="51">
        <f t="shared" si="3"/>
        <v>3585</v>
      </c>
      <c r="CE12" s="3">
        <f t="shared" ref="CE12:CN13" si="4">AO12*1500</f>
        <v>3957.0000000000005</v>
      </c>
      <c r="CF12" s="3">
        <f t="shared" si="4"/>
        <v>4575</v>
      </c>
      <c r="CG12" s="51">
        <f t="shared" si="4"/>
        <v>3735.0000000000005</v>
      </c>
      <c r="CH12" s="3">
        <f t="shared" si="4"/>
        <v>4107.0000000000009</v>
      </c>
      <c r="CI12" s="3">
        <f t="shared" si="4"/>
        <v>4725.0000000000009</v>
      </c>
      <c r="CJ12" s="51">
        <f t="shared" si="4"/>
        <v>3885.0000000000005</v>
      </c>
      <c r="CK12" s="3">
        <f t="shared" si="4"/>
        <v>4257.0000000000009</v>
      </c>
      <c r="CL12" s="3">
        <f t="shared" si="4"/>
        <v>4875.0000000000009</v>
      </c>
      <c r="CM12" s="51">
        <f t="shared" si="4"/>
        <v>4035.0000000000005</v>
      </c>
      <c r="CN12" s="3">
        <f t="shared" si="4"/>
        <v>4407.0000000000009</v>
      </c>
      <c r="CO12" s="3">
        <f t="shared" ref="CO12:CO13" si="5">AY12*1500</f>
        <v>5025.0000000000009</v>
      </c>
      <c r="CP12" s="34">
        <v>1.05</v>
      </c>
      <c r="CQ12" s="60">
        <v>36450</v>
      </c>
      <c r="CR12" s="51">
        <f t="shared" ref="CR12:CR18" si="6">(AZ12+BU12+CQ12)*3%</f>
        <v>1570.80375</v>
      </c>
      <c r="CS12" s="3">
        <f t="shared" ref="CS12:CS18" si="7">(BA12+BV12+CQ12)*3%</f>
        <v>1865.243406</v>
      </c>
      <c r="CT12" s="3">
        <f t="shared" ref="CT12:CT18" si="8">(BB12+BW12+CQ12)*3%</f>
        <v>2225.8125</v>
      </c>
      <c r="CU12" s="51">
        <f t="shared" ref="CU12:CU18" si="9">(BC12+BX12+CQ12)*3%</f>
        <v>1593.6412499999999</v>
      </c>
      <c r="CV12" s="51">
        <f t="shared" ref="CV12:CV18" si="10">(BD12+BY12+CQ12)*3%</f>
        <v>1898.2521059999999</v>
      </c>
      <c r="CW12" s="3">
        <f t="shared" ref="CW12:CW18" si="11">(BE12+BZ12+CQ12)*3%</f>
        <v>2266.9874999999997</v>
      </c>
      <c r="CX12" s="51">
        <f t="shared" ref="CX12:CX18" si="12">(BF12+CA12+CQ12)*3%</f>
        <v>1616.47875</v>
      </c>
      <c r="CY12" s="3">
        <f t="shared" ref="CY12:CY18" si="13">(BG12+CB12+CQ12)*3%</f>
        <v>1931.2608059999998</v>
      </c>
      <c r="CZ12" s="3">
        <f t="shared" ref="CZ12:CZ18" si="14">(BH12+CC12+CQ12)*3%</f>
        <v>2308.1624999999999</v>
      </c>
      <c r="DA12" s="51">
        <f t="shared" ref="DA12:DA18" si="15">(BI12+CD12+CQ12)*3%</f>
        <v>1639.3162499999999</v>
      </c>
      <c r="DB12" s="3">
        <f t="shared" ref="DB12:DB18" si="16">(BJ12+CE12+CQ12)*3%</f>
        <v>1964.2695060000001</v>
      </c>
      <c r="DC12" s="3">
        <f t="shared" ref="DC12:DC18" si="17">(BK12+CF12+CQ12)*3%</f>
        <v>2349.3375000000001</v>
      </c>
      <c r="DD12" s="51">
        <f t="shared" ref="DD12:DD18" si="18">(BL12+CG12+CQ12)*3%</f>
        <v>1662.1537499999999</v>
      </c>
      <c r="DE12" s="3">
        <f t="shared" ref="DE12:DE18" si="19">(BM12+CH12+CQ12)*3%</f>
        <v>1997.2782060000002</v>
      </c>
      <c r="DF12" s="3">
        <f t="shared" ref="DF12:DF18" si="20">(BN12+CI12+CQ12)*3%</f>
        <v>2390.5124999999998</v>
      </c>
      <c r="DG12" s="51">
        <f t="shared" ref="DG12:DG18" si="21">(BO12+CJ12+CQ12)*3%</f>
        <v>1684.99125</v>
      </c>
      <c r="DH12" s="3">
        <f t="shared" ref="DH12:DH18" si="22">(BP12+CK12+CQ12)*3%</f>
        <v>2030.286906</v>
      </c>
      <c r="DI12" s="3">
        <f t="shared" ref="DI12:DI18" si="23">(BQ12+CL12+CQ12)*3%</f>
        <v>2431.6875</v>
      </c>
      <c r="DJ12" s="51">
        <f t="shared" ref="DJ12:DJ18" si="24">(BR12+CM12+CQ12)*3%</f>
        <v>1707.8287499999999</v>
      </c>
      <c r="DK12" s="3">
        <f t="shared" ref="DK12:DK18" si="25">(BS12+CN12+CQ12)*3%</f>
        <v>2063.2956059999997</v>
      </c>
      <c r="DL12" s="3">
        <f t="shared" ref="DL12:DL18" si="26">(BT12+CO12+CQ12)*3%</f>
        <v>2472.8624999999997</v>
      </c>
      <c r="DM12" s="51">
        <f t="shared" ref="DM12:DM18" si="27">AZ12+BU12+CQ12+CR12</f>
        <v>53930.928749999999</v>
      </c>
      <c r="DN12" s="3">
        <f t="shared" ref="DN12:DN18" si="28">BA12+BV12+CQ12+CS12</f>
        <v>64040.023606000002</v>
      </c>
      <c r="DO12" s="3">
        <f t="shared" ref="DO12:DO18" si="29">BB12+BW12+CQ12+CT12</f>
        <v>76419.5625</v>
      </c>
      <c r="DP12" s="51">
        <f t="shared" ref="DP12:DP18" si="30">BC12+BX12+CQ12+CU12</f>
        <v>54715.016250000001</v>
      </c>
      <c r="DQ12" s="51">
        <f t="shared" ref="DQ12:DQ18" si="31">BD12+BY12+CQ12+CV12</f>
        <v>65173.322306000002</v>
      </c>
      <c r="DR12" s="3">
        <f t="shared" ref="DR12:DR18" si="32">BE12+BZ12+CQ12+CW12</f>
        <v>77833.237500000003</v>
      </c>
      <c r="DS12" s="51">
        <f t="shared" ref="DS12:DS18" si="33">BF12+CA12+CQ12+CX12</f>
        <v>55499.103750000002</v>
      </c>
      <c r="DT12" s="3">
        <f t="shared" ref="DT12:DT18" si="34">BG12+CB12+CQ12+CY12</f>
        <v>66306.621006000001</v>
      </c>
      <c r="DU12" s="3">
        <f t="shared" ref="DU12:DU18" si="35">BH12+CC12+CQ12+CZ12</f>
        <v>79246.912500000006</v>
      </c>
      <c r="DV12" s="51">
        <f t="shared" ref="DV12:DV18" si="36">BI12+CD12+CQ12+DA12</f>
        <v>56283.191250000003</v>
      </c>
      <c r="DW12" s="3">
        <f t="shared" ref="DW12:DW18" si="37">BJ12+CE12+CQ12+DB12</f>
        <v>67439.919706000001</v>
      </c>
      <c r="DX12" s="3">
        <f t="shared" ref="DX12:DX18" si="38">BK12+CF12+CQ12+DC12</f>
        <v>80660.587499999994</v>
      </c>
      <c r="DY12" s="51">
        <f t="shared" ref="DY12:DY18" si="39">BL12+CG12+CQ12+DD12</f>
        <v>57067.278749999998</v>
      </c>
      <c r="DZ12" s="3">
        <f t="shared" ref="DZ12:DZ18" si="40">BM12+CH12+CQ12+DE12</f>
        <v>68573.218406000015</v>
      </c>
      <c r="EA12" s="3">
        <f t="shared" ref="EA12:EA18" si="41">BN12+CI12+CQ12+DF12</f>
        <v>82074.262499999997</v>
      </c>
      <c r="EB12" s="51">
        <f t="shared" ref="EB12:EB18" si="42">BO12+CJ12+CQ12+DG12</f>
        <v>57851.366249999999</v>
      </c>
      <c r="EC12" s="3">
        <f t="shared" ref="EC12:EC18" si="43">BP12+CK12+CQ12+DH12</f>
        <v>69706.517105999999</v>
      </c>
      <c r="ED12" s="3">
        <f t="shared" ref="ED12:ED18" si="44">BQ12+CL12+CQ12+DI12</f>
        <v>83487.9375</v>
      </c>
      <c r="EE12" s="51">
        <f t="shared" ref="EE12:EE18" si="45">BR12+CM12+CQ12+DJ12</f>
        <v>58635.453750000001</v>
      </c>
      <c r="EF12" s="3">
        <f t="shared" ref="EF12:EF18" si="46">BS12+CN12+CQ12+DK12</f>
        <v>70839.815805999999</v>
      </c>
      <c r="EG12" s="3">
        <f t="shared" ref="EG12:EG18" si="47">BT12+CO12+CQ12+DL12</f>
        <v>84901.612500000003</v>
      </c>
    </row>
    <row r="13" spans="1:137" ht="18.75" x14ac:dyDescent="0.25">
      <c r="A13" s="4" t="s">
        <v>6</v>
      </c>
      <c r="B13" s="2" t="s">
        <v>222</v>
      </c>
      <c r="C13" s="4">
        <f>I1</f>
        <v>16300</v>
      </c>
      <c r="D13" s="4">
        <v>2.774</v>
      </c>
      <c r="E13" s="4">
        <v>3.0529999999999999</v>
      </c>
      <c r="F13" s="4">
        <v>3.5179999999999998</v>
      </c>
      <c r="G13" s="4">
        <v>2.3559999999999999</v>
      </c>
      <c r="H13" s="4">
        <v>2.6349999999999998</v>
      </c>
      <c r="I13" s="89">
        <v>3.1</v>
      </c>
      <c r="J13" s="97">
        <v>2.774</v>
      </c>
      <c r="K13" s="2">
        <v>3.0529999999999999</v>
      </c>
      <c r="L13" s="98">
        <v>3.5179999999999998</v>
      </c>
      <c r="M13" s="97">
        <f t="shared" si="0"/>
        <v>2.8740000000000001</v>
      </c>
      <c r="N13" s="2">
        <f t="shared" si="0"/>
        <v>3.153</v>
      </c>
      <c r="O13" s="98">
        <f t="shared" si="0"/>
        <v>3.6179999999999999</v>
      </c>
      <c r="P13" s="97">
        <f t="shared" si="0"/>
        <v>2.9740000000000002</v>
      </c>
      <c r="Q13" s="2">
        <f t="shared" si="0"/>
        <v>3.2530000000000001</v>
      </c>
      <c r="R13" s="98">
        <f t="shared" si="0"/>
        <v>3.718</v>
      </c>
      <c r="S13" s="97">
        <f t="shared" si="0"/>
        <v>3.0740000000000003</v>
      </c>
      <c r="T13" s="2">
        <f t="shared" si="0"/>
        <v>3.3530000000000002</v>
      </c>
      <c r="U13" s="98">
        <f t="shared" si="0"/>
        <v>3.8180000000000001</v>
      </c>
      <c r="V13" s="97">
        <f t="shared" si="0"/>
        <v>3.1740000000000004</v>
      </c>
      <c r="W13" s="2">
        <f t="shared" si="1"/>
        <v>3.4530000000000003</v>
      </c>
      <c r="X13" s="98">
        <f t="shared" si="1"/>
        <v>3.9180000000000001</v>
      </c>
      <c r="Y13" s="97">
        <f t="shared" si="1"/>
        <v>3.2740000000000005</v>
      </c>
      <c r="Z13" s="2">
        <f t="shared" si="1"/>
        <v>3.5530000000000004</v>
      </c>
      <c r="AA13" s="98">
        <f t="shared" si="1"/>
        <v>4.0179999999999998</v>
      </c>
      <c r="AB13" s="97">
        <f t="shared" si="1"/>
        <v>3.3740000000000006</v>
      </c>
      <c r="AC13" s="2">
        <f t="shared" si="1"/>
        <v>3.6530000000000005</v>
      </c>
      <c r="AD13" s="98">
        <f t="shared" si="1"/>
        <v>4.1179999999999994</v>
      </c>
      <c r="AE13" s="53">
        <v>2.3559999999999999</v>
      </c>
      <c r="AF13" s="2">
        <v>2.6349999999999998</v>
      </c>
      <c r="AG13" s="2">
        <v>3.1</v>
      </c>
      <c r="AH13" s="41">
        <f t="shared" ref="AH13:AH18" si="48">AE13+0.1</f>
        <v>2.456</v>
      </c>
      <c r="AI13" s="41">
        <f t="shared" ref="AI13:AI18" si="49">AF13+0.1</f>
        <v>2.7349999999999999</v>
      </c>
      <c r="AJ13" s="41">
        <f t="shared" ref="AJ13:AJ18" si="50">AG13+0.1</f>
        <v>3.2</v>
      </c>
      <c r="AK13" s="41">
        <f t="shared" ref="AK13:AK18" si="51">AH13+0.1</f>
        <v>2.556</v>
      </c>
      <c r="AL13" s="42">
        <f t="shared" ref="AL13:AL18" si="52">AI13+0.1</f>
        <v>2.835</v>
      </c>
      <c r="AM13" s="42">
        <f t="shared" ref="AM13:AM18" si="53">AJ13+0.1</f>
        <v>3.3000000000000003</v>
      </c>
      <c r="AN13" s="42">
        <f t="shared" ref="AN13:AN18" si="54">AK13+0.1</f>
        <v>2.6560000000000001</v>
      </c>
      <c r="AO13" s="42">
        <f t="shared" ref="AO13:AO18" si="55">AL13+0.1</f>
        <v>2.9350000000000001</v>
      </c>
      <c r="AP13" s="42">
        <f t="shared" ref="AP13:AP18" si="56">AM13+0.1</f>
        <v>3.4000000000000004</v>
      </c>
      <c r="AQ13" s="42">
        <f t="shared" ref="AQ13:AQ18" si="57">AN13+0.1</f>
        <v>2.7560000000000002</v>
      </c>
      <c r="AR13" s="42">
        <f t="shared" ref="AR13:AR18" si="58">AO13+0.1</f>
        <v>3.0350000000000001</v>
      </c>
      <c r="AS13" s="42">
        <f t="shared" ref="AS13:AS18" si="59">AP13+0.1</f>
        <v>3.5000000000000004</v>
      </c>
      <c r="AT13" s="42">
        <f t="shared" ref="AT13:AT18" si="60">AQ13+0.1</f>
        <v>2.8560000000000003</v>
      </c>
      <c r="AU13" s="42">
        <f t="shared" ref="AU13:AU18" si="61">AR13+0.1</f>
        <v>3.1350000000000002</v>
      </c>
      <c r="AV13" s="42">
        <f t="shared" ref="AV13:AV18" si="62">AS13+0.1</f>
        <v>3.6000000000000005</v>
      </c>
      <c r="AW13" s="42">
        <f t="shared" ref="AW13:AW18" si="63">AT13+0.1</f>
        <v>2.9560000000000004</v>
      </c>
      <c r="AX13" s="42">
        <f t="shared" ref="AX13:AX18" si="64">AU13+0.1</f>
        <v>3.2350000000000003</v>
      </c>
      <c r="AY13" s="47">
        <f t="shared" ref="AY13:AY18" si="65">AV13+0.1</f>
        <v>3.7000000000000006</v>
      </c>
      <c r="AZ13" s="51">
        <f t="shared" ref="AZ13:AZ18" si="66">AE13*C13*0.375</f>
        <v>14401.05</v>
      </c>
      <c r="BA13" s="3">
        <f t="shared" ref="BA13:BA18" si="67">AF13*C13*0.583</f>
        <v>25040.141499999998</v>
      </c>
      <c r="BB13" s="3">
        <f t="shared" ref="BB13:BB18" si="68">AG13*C13*0.75</f>
        <v>37897.5</v>
      </c>
      <c r="BC13" s="41">
        <f t="shared" ref="BC13:BC18" si="69">AH13*C13*0.375</f>
        <v>15012.300000000001</v>
      </c>
      <c r="BD13" s="41">
        <f t="shared" ref="BD13:BD18" si="70">AI13*C13*0.583</f>
        <v>25990.431499999999</v>
      </c>
      <c r="BE13" s="41">
        <f t="shared" ref="BE13:BE18" si="71">AJ13*C13*0.75</f>
        <v>39120</v>
      </c>
      <c r="BF13" s="41">
        <f t="shared" ref="BF13:BF18" si="72">AK13*C13*0.375</f>
        <v>15623.550000000001</v>
      </c>
      <c r="BG13" s="42">
        <f t="shared" ref="BG13:BG18" si="73">AL13*C13*0.583</f>
        <v>26940.7215</v>
      </c>
      <c r="BH13" s="42">
        <f t="shared" ref="BH13:BH18" si="74">AM13*C13*0.75</f>
        <v>40342.500000000007</v>
      </c>
      <c r="BI13" s="42">
        <f t="shared" ref="BI13:BI18" si="75">AN13*C13*0.375</f>
        <v>16234.800000000001</v>
      </c>
      <c r="BJ13" s="42">
        <f t="shared" ref="BJ13:BJ18" si="76">AO13*C13*0.583</f>
        <v>27891.011499999997</v>
      </c>
      <c r="BK13" s="42">
        <f t="shared" ref="BK13:BK18" si="77">AP13*C13*0.75</f>
        <v>41565.000000000007</v>
      </c>
      <c r="BL13" s="42">
        <f t="shared" ref="BL13:BL18" si="78">AQ13*C13*0.375</f>
        <v>16846.050000000003</v>
      </c>
      <c r="BM13" s="42">
        <f t="shared" ref="BM13:BM18" si="79">AR13*C13*0.583</f>
        <v>28841.301499999998</v>
      </c>
      <c r="BN13" s="42">
        <f t="shared" ref="BN13:BN18" si="80">AS13*C13*0.75</f>
        <v>42787.500000000007</v>
      </c>
      <c r="BO13" s="42">
        <f t="shared" ref="BO13:BO18" si="81">AT13*C13*0.375</f>
        <v>17457.300000000003</v>
      </c>
      <c r="BP13" s="42">
        <f t="shared" ref="BP13:BP18" si="82">AU13*C13*0.583</f>
        <v>29791.591500000002</v>
      </c>
      <c r="BQ13" s="42">
        <f t="shared" ref="BQ13:BQ18" si="83">AV13*C13*0.75</f>
        <v>44010.000000000007</v>
      </c>
      <c r="BR13" s="42">
        <f t="shared" ref="BR13:BR18" si="84">AW13*C13*0.375</f>
        <v>18068.550000000003</v>
      </c>
      <c r="BS13" s="42">
        <f t="shared" ref="BS13:BS18" si="85">AX13*C13*0.583</f>
        <v>30741.881500000003</v>
      </c>
      <c r="BT13" s="47">
        <f t="shared" ref="BT13:BT18" si="86">AY13*C13*0.75</f>
        <v>45232.500000000007</v>
      </c>
      <c r="BU13" s="51">
        <f t="shared" si="3"/>
        <v>3534</v>
      </c>
      <c r="BV13" s="3">
        <f t="shared" si="3"/>
        <v>3952.4999999999995</v>
      </c>
      <c r="BW13" s="3">
        <f t="shared" si="3"/>
        <v>4650</v>
      </c>
      <c r="BX13" s="51">
        <f t="shared" si="3"/>
        <v>3684</v>
      </c>
      <c r="BY13" s="3">
        <f t="shared" si="3"/>
        <v>4102.5</v>
      </c>
      <c r="BZ13" s="3">
        <f t="shared" si="3"/>
        <v>4800</v>
      </c>
      <c r="CA13" s="51">
        <f t="shared" si="3"/>
        <v>3834</v>
      </c>
      <c r="CB13" s="3">
        <f t="shared" si="3"/>
        <v>4252.5</v>
      </c>
      <c r="CC13" s="3">
        <f t="shared" si="3"/>
        <v>4950</v>
      </c>
      <c r="CD13" s="51">
        <f t="shared" si="3"/>
        <v>3984</v>
      </c>
      <c r="CE13" s="3">
        <f t="shared" si="4"/>
        <v>4402.5</v>
      </c>
      <c r="CF13" s="3">
        <f t="shared" si="4"/>
        <v>5100.0000000000009</v>
      </c>
      <c r="CG13" s="51">
        <f t="shared" si="4"/>
        <v>4134</v>
      </c>
      <c r="CH13" s="3">
        <f t="shared" si="4"/>
        <v>4552.5</v>
      </c>
      <c r="CI13" s="3">
        <f t="shared" si="4"/>
        <v>5250.0000000000009</v>
      </c>
      <c r="CJ13" s="51">
        <f t="shared" si="4"/>
        <v>4284.0000000000009</v>
      </c>
      <c r="CK13" s="3">
        <f t="shared" si="4"/>
        <v>4702.5</v>
      </c>
      <c r="CL13" s="3">
        <f t="shared" si="4"/>
        <v>5400.0000000000009</v>
      </c>
      <c r="CM13" s="51">
        <f t="shared" si="4"/>
        <v>4434.0000000000009</v>
      </c>
      <c r="CN13" s="3">
        <f t="shared" si="4"/>
        <v>4852.5000000000009</v>
      </c>
      <c r="CO13" s="3">
        <f t="shared" si="5"/>
        <v>5550.0000000000009</v>
      </c>
      <c r="CP13" s="34">
        <v>2.09</v>
      </c>
      <c r="CQ13" s="60">
        <v>80500</v>
      </c>
      <c r="CR13" s="51">
        <f t="shared" si="6"/>
        <v>2953.0515</v>
      </c>
      <c r="CS13" s="3">
        <f t="shared" si="7"/>
        <v>3284.7792449999997</v>
      </c>
      <c r="CT13" s="3">
        <f t="shared" si="8"/>
        <v>3691.4249999999997</v>
      </c>
      <c r="CU13" s="51">
        <f t="shared" si="9"/>
        <v>2975.8890000000001</v>
      </c>
      <c r="CV13" s="51">
        <f t="shared" si="10"/>
        <v>3317.787945</v>
      </c>
      <c r="CW13" s="3">
        <f t="shared" si="11"/>
        <v>3732.6</v>
      </c>
      <c r="CX13" s="51">
        <f t="shared" si="12"/>
        <v>2998.7264999999998</v>
      </c>
      <c r="CY13" s="3">
        <f t="shared" si="13"/>
        <v>3350.7966449999999</v>
      </c>
      <c r="CZ13" s="3">
        <f t="shared" si="14"/>
        <v>3773.7749999999996</v>
      </c>
      <c r="DA13" s="51">
        <f t="shared" si="15"/>
        <v>3021.5639999999999</v>
      </c>
      <c r="DB13" s="3">
        <f t="shared" si="16"/>
        <v>3383.8053449999998</v>
      </c>
      <c r="DC13" s="3">
        <f t="shared" si="17"/>
        <v>3814.95</v>
      </c>
      <c r="DD13" s="51">
        <f t="shared" si="18"/>
        <v>3044.4014999999999</v>
      </c>
      <c r="DE13" s="3">
        <f t="shared" si="19"/>
        <v>3416.8140450000001</v>
      </c>
      <c r="DF13" s="3">
        <f t="shared" si="20"/>
        <v>3856.125</v>
      </c>
      <c r="DG13" s="51">
        <f t="shared" si="21"/>
        <v>3067.239</v>
      </c>
      <c r="DH13" s="3">
        <f t="shared" si="22"/>
        <v>3449.8227449999999</v>
      </c>
      <c r="DI13" s="3">
        <f t="shared" si="23"/>
        <v>3897.2999999999997</v>
      </c>
      <c r="DJ13" s="51">
        <f t="shared" si="24"/>
        <v>3090.0765000000001</v>
      </c>
      <c r="DK13" s="3">
        <f t="shared" si="25"/>
        <v>3482.8314449999998</v>
      </c>
      <c r="DL13" s="3">
        <f t="shared" si="26"/>
        <v>3938.4749999999999</v>
      </c>
      <c r="DM13" s="51">
        <f t="shared" si="27"/>
        <v>101388.1015</v>
      </c>
      <c r="DN13" s="3">
        <f t="shared" si="28"/>
        <v>112777.420745</v>
      </c>
      <c r="DO13" s="3">
        <f t="shared" si="29"/>
        <v>126738.925</v>
      </c>
      <c r="DP13" s="51">
        <f t="shared" si="30"/>
        <v>102172.189</v>
      </c>
      <c r="DQ13" s="51">
        <f t="shared" si="31"/>
        <v>113910.71944500001</v>
      </c>
      <c r="DR13" s="3">
        <f t="shared" si="32"/>
        <v>128152.6</v>
      </c>
      <c r="DS13" s="51">
        <f t="shared" si="33"/>
        <v>102956.27650000001</v>
      </c>
      <c r="DT13" s="3">
        <f t="shared" si="34"/>
        <v>115044.01814499999</v>
      </c>
      <c r="DU13" s="3">
        <f t="shared" si="35"/>
        <v>129566.27499999999</v>
      </c>
      <c r="DV13" s="51">
        <f t="shared" si="36"/>
        <v>103740.364</v>
      </c>
      <c r="DW13" s="3">
        <f t="shared" si="37"/>
        <v>116177.31684499999</v>
      </c>
      <c r="DX13" s="3">
        <f t="shared" si="38"/>
        <v>130979.95</v>
      </c>
      <c r="DY13" s="51">
        <f t="shared" si="39"/>
        <v>104524.4515</v>
      </c>
      <c r="DZ13" s="3">
        <f t="shared" si="40"/>
        <v>117310.61554500001</v>
      </c>
      <c r="EA13" s="3">
        <f t="shared" si="41"/>
        <v>132393.625</v>
      </c>
      <c r="EB13" s="51">
        <f t="shared" si="42"/>
        <v>105308.539</v>
      </c>
      <c r="EC13" s="3">
        <f t="shared" si="43"/>
        <v>118443.91424500001</v>
      </c>
      <c r="ED13" s="3">
        <f t="shared" si="44"/>
        <v>133807.29999999999</v>
      </c>
      <c r="EE13" s="51">
        <f t="shared" si="45"/>
        <v>106092.6265</v>
      </c>
      <c r="EF13" s="3">
        <f t="shared" si="46"/>
        <v>119577.21294500001</v>
      </c>
      <c r="EG13" s="3">
        <f t="shared" si="47"/>
        <v>135220.97500000001</v>
      </c>
    </row>
    <row r="14" spans="1:137" ht="18.75" x14ac:dyDescent="0.25">
      <c r="A14" s="4" t="s">
        <v>6</v>
      </c>
      <c r="B14" s="2" t="s">
        <v>225</v>
      </c>
      <c r="C14" s="4">
        <f>I1</f>
        <v>16300</v>
      </c>
      <c r="D14" s="4">
        <v>3.0910000000000002</v>
      </c>
      <c r="E14" s="4">
        <v>3.415</v>
      </c>
      <c r="F14" s="4">
        <v>3.9550000000000001</v>
      </c>
      <c r="G14" s="4">
        <v>2.7360000000000002</v>
      </c>
      <c r="H14" s="4">
        <v>3.06</v>
      </c>
      <c r="I14" s="89">
        <v>3.6</v>
      </c>
      <c r="J14" s="97">
        <v>3.0910000000000002</v>
      </c>
      <c r="K14" s="2">
        <v>3.415</v>
      </c>
      <c r="L14" s="98">
        <v>3.9550000000000001</v>
      </c>
      <c r="M14" s="97">
        <f t="shared" ref="M14:M18" si="87">J14+0.1</f>
        <v>3.1910000000000003</v>
      </c>
      <c r="N14" s="2">
        <f t="shared" ref="N14:N18" si="88">K14+0.1</f>
        <v>3.5150000000000001</v>
      </c>
      <c r="O14" s="98">
        <f t="shared" ref="O14:O18" si="89">L14+0.1</f>
        <v>4.0549999999999997</v>
      </c>
      <c r="P14" s="97">
        <f t="shared" ref="P14:P18" si="90">M14+0.1</f>
        <v>3.2910000000000004</v>
      </c>
      <c r="Q14" s="2">
        <f t="shared" ref="Q14:Q18" si="91">N14+0.1</f>
        <v>3.6150000000000002</v>
      </c>
      <c r="R14" s="98">
        <f t="shared" ref="R14:R18" si="92">O14+0.1</f>
        <v>4.1549999999999994</v>
      </c>
      <c r="S14" s="97">
        <f t="shared" ref="S14:S18" si="93">P14+0.1</f>
        <v>3.3910000000000005</v>
      </c>
      <c r="T14" s="2">
        <f t="shared" ref="T14:T18" si="94">Q14+0.1</f>
        <v>3.7150000000000003</v>
      </c>
      <c r="U14" s="98">
        <f t="shared" ref="U14:U18" si="95">R14+0.1</f>
        <v>4.254999999999999</v>
      </c>
      <c r="V14" s="97">
        <f t="shared" ref="V14:V18" si="96">S14+0.1</f>
        <v>3.4910000000000005</v>
      </c>
      <c r="W14" s="2">
        <f t="shared" ref="W14:W18" si="97">T14+0.1</f>
        <v>3.8150000000000004</v>
      </c>
      <c r="X14" s="98">
        <f t="shared" ref="X14:X18" si="98">U14+0.1</f>
        <v>4.3549999999999986</v>
      </c>
      <c r="Y14" s="97">
        <f t="shared" ref="Y14:Y18" si="99">V14+0.1</f>
        <v>3.5910000000000006</v>
      </c>
      <c r="Z14" s="2">
        <f t="shared" ref="Z14:Z18" si="100">W14+0.1</f>
        <v>3.9150000000000005</v>
      </c>
      <c r="AA14" s="98">
        <f t="shared" ref="AA14:AA18" si="101">X14+0.1</f>
        <v>4.4549999999999983</v>
      </c>
      <c r="AB14" s="97">
        <f t="shared" ref="AB14:AB18" si="102">Y14+0.1</f>
        <v>3.6910000000000007</v>
      </c>
      <c r="AC14" s="2">
        <f t="shared" ref="AC14:AC18" si="103">Z14+0.1</f>
        <v>4.0150000000000006</v>
      </c>
      <c r="AD14" s="98">
        <f t="shared" ref="AD14:AD18" si="104">AA14+0.1</f>
        <v>4.5549999999999979</v>
      </c>
      <c r="AE14" s="53">
        <v>2.7360000000000002</v>
      </c>
      <c r="AF14" s="2">
        <v>3.06</v>
      </c>
      <c r="AG14" s="2">
        <v>3.6</v>
      </c>
      <c r="AH14" s="41">
        <f t="shared" si="48"/>
        <v>2.8360000000000003</v>
      </c>
      <c r="AI14" s="41">
        <f t="shared" si="49"/>
        <v>3.16</v>
      </c>
      <c r="AJ14" s="41">
        <f t="shared" si="50"/>
        <v>3.7</v>
      </c>
      <c r="AK14" s="41">
        <f t="shared" si="51"/>
        <v>2.9360000000000004</v>
      </c>
      <c r="AL14" s="42">
        <f t="shared" si="52"/>
        <v>3.2600000000000002</v>
      </c>
      <c r="AM14" s="42">
        <f t="shared" si="53"/>
        <v>3.8000000000000003</v>
      </c>
      <c r="AN14" s="42">
        <f t="shared" si="54"/>
        <v>3.0360000000000005</v>
      </c>
      <c r="AO14" s="42">
        <f t="shared" si="55"/>
        <v>3.3600000000000003</v>
      </c>
      <c r="AP14" s="42">
        <f t="shared" si="56"/>
        <v>3.9000000000000004</v>
      </c>
      <c r="AQ14" s="42">
        <f t="shared" si="57"/>
        <v>3.1360000000000006</v>
      </c>
      <c r="AR14" s="42">
        <f t="shared" si="58"/>
        <v>3.4600000000000004</v>
      </c>
      <c r="AS14" s="42">
        <f t="shared" si="59"/>
        <v>4</v>
      </c>
      <c r="AT14" s="42">
        <f t="shared" si="60"/>
        <v>3.2360000000000007</v>
      </c>
      <c r="AU14" s="42">
        <f t="shared" si="61"/>
        <v>3.5600000000000005</v>
      </c>
      <c r="AV14" s="42">
        <f t="shared" si="62"/>
        <v>4.0999999999999996</v>
      </c>
      <c r="AW14" s="42">
        <f t="shared" si="63"/>
        <v>3.3360000000000007</v>
      </c>
      <c r="AX14" s="42">
        <f t="shared" si="64"/>
        <v>3.6600000000000006</v>
      </c>
      <c r="AY14" s="47">
        <f t="shared" si="65"/>
        <v>4.1999999999999993</v>
      </c>
      <c r="AZ14" s="51">
        <f t="shared" si="66"/>
        <v>16723.800000000003</v>
      </c>
      <c r="BA14" s="3">
        <f t="shared" si="67"/>
        <v>29078.874</v>
      </c>
      <c r="BB14" s="3">
        <f t="shared" si="68"/>
        <v>44010</v>
      </c>
      <c r="BC14" s="41">
        <f t="shared" si="69"/>
        <v>17335.050000000003</v>
      </c>
      <c r="BD14" s="41">
        <f t="shared" si="70"/>
        <v>30029.163999999997</v>
      </c>
      <c r="BE14" s="41">
        <f t="shared" si="71"/>
        <v>45232.5</v>
      </c>
      <c r="BF14" s="41">
        <f t="shared" si="72"/>
        <v>17946.300000000003</v>
      </c>
      <c r="BG14" s="42">
        <f t="shared" si="73"/>
        <v>30979.454000000002</v>
      </c>
      <c r="BH14" s="42">
        <f t="shared" si="74"/>
        <v>46455.000000000007</v>
      </c>
      <c r="BI14" s="42">
        <f t="shared" si="75"/>
        <v>18557.550000000003</v>
      </c>
      <c r="BJ14" s="42">
        <f t="shared" si="76"/>
        <v>31929.744000000002</v>
      </c>
      <c r="BK14" s="42">
        <f t="shared" si="77"/>
        <v>47677.500000000007</v>
      </c>
      <c r="BL14" s="42">
        <f t="shared" si="78"/>
        <v>19168.800000000003</v>
      </c>
      <c r="BM14" s="42">
        <f t="shared" si="79"/>
        <v>32880.034</v>
      </c>
      <c r="BN14" s="42">
        <f t="shared" si="80"/>
        <v>48900</v>
      </c>
      <c r="BO14" s="42">
        <f t="shared" si="81"/>
        <v>19780.050000000003</v>
      </c>
      <c r="BP14" s="42">
        <f t="shared" si="82"/>
        <v>33830.324000000001</v>
      </c>
      <c r="BQ14" s="42">
        <f t="shared" si="83"/>
        <v>50122.5</v>
      </c>
      <c r="BR14" s="42">
        <f t="shared" si="84"/>
        <v>20391.300000000003</v>
      </c>
      <c r="BS14" s="42">
        <f t="shared" si="85"/>
        <v>34780.614000000001</v>
      </c>
      <c r="BT14" s="47">
        <f t="shared" si="86"/>
        <v>51344.999999999985</v>
      </c>
      <c r="BU14" s="51">
        <f t="shared" ref="BU14:BU18" si="105">AE14*1500</f>
        <v>4104</v>
      </c>
      <c r="BV14" s="3">
        <f t="shared" ref="BV14:BV18" si="106">AF14*1500</f>
        <v>4590</v>
      </c>
      <c r="BW14" s="3">
        <f t="shared" ref="BW14:BW18" si="107">AG14*1500</f>
        <v>5400</v>
      </c>
      <c r="BX14" s="51">
        <f t="shared" ref="BX14:BX18" si="108">AH14*1500</f>
        <v>4254</v>
      </c>
      <c r="BY14" s="3">
        <f t="shared" ref="BY14:BY18" si="109">AI14*1500</f>
        <v>4740</v>
      </c>
      <c r="BZ14" s="3">
        <f t="shared" ref="BZ14:BZ18" si="110">AJ14*1500</f>
        <v>5550</v>
      </c>
      <c r="CA14" s="51">
        <f t="shared" ref="CA14:CA18" si="111">AK14*1500</f>
        <v>4404.0000000000009</v>
      </c>
      <c r="CB14" s="3">
        <f t="shared" ref="CB14:CB18" si="112">AL14*1500</f>
        <v>4890</v>
      </c>
      <c r="CC14" s="3">
        <f t="shared" ref="CC14:CC18" si="113">AM14*1500</f>
        <v>5700</v>
      </c>
      <c r="CD14" s="51">
        <f t="shared" ref="CD14:CD18" si="114">AN14*1500</f>
        <v>4554.0000000000009</v>
      </c>
      <c r="CE14" s="3">
        <f t="shared" ref="CE14:CE18" si="115">AO14*1500</f>
        <v>5040.0000000000009</v>
      </c>
      <c r="CF14" s="3">
        <f t="shared" ref="CF14:CF18" si="116">AP14*1500</f>
        <v>5850.0000000000009</v>
      </c>
      <c r="CG14" s="51">
        <f t="shared" ref="CG14:CG18" si="117">AQ14*1500</f>
        <v>4704.0000000000009</v>
      </c>
      <c r="CH14" s="3">
        <f t="shared" ref="CH14:CH18" si="118">AR14*1500</f>
        <v>5190.0000000000009</v>
      </c>
      <c r="CI14" s="3">
        <f t="shared" ref="CI14:CI18" si="119">AS14*1500</f>
        <v>6000</v>
      </c>
      <c r="CJ14" s="51">
        <f t="shared" ref="CJ14:CJ18" si="120">AT14*1500</f>
        <v>4854.0000000000009</v>
      </c>
      <c r="CK14" s="3">
        <f t="shared" ref="CK14:CK18" si="121">AU14*1500</f>
        <v>5340.0000000000009</v>
      </c>
      <c r="CL14" s="3">
        <f t="shared" ref="CL14:CL18" si="122">AV14*1500</f>
        <v>6149.9999999999991</v>
      </c>
      <c r="CM14" s="51">
        <f t="shared" ref="CM14:CM18" si="123">AW14*1500</f>
        <v>5004.0000000000009</v>
      </c>
      <c r="CN14" s="3">
        <f t="shared" ref="CN14:CN18" si="124">AX14*1500</f>
        <v>5490.0000000000009</v>
      </c>
      <c r="CO14" s="3">
        <f t="shared" ref="CO14:CO18" si="125">AY14*1500</f>
        <v>6299.9999999999991</v>
      </c>
      <c r="CP14" s="34">
        <v>1.776</v>
      </c>
      <c r="CQ14" s="60">
        <v>65242</v>
      </c>
      <c r="CR14" s="51">
        <f t="shared" si="6"/>
        <v>2582.0940000000001</v>
      </c>
      <c r="CS14" s="3">
        <f t="shared" si="7"/>
        <v>2967.3262199999999</v>
      </c>
      <c r="CT14" s="3">
        <f t="shared" si="8"/>
        <v>3439.56</v>
      </c>
      <c r="CU14" s="51">
        <f t="shared" si="9"/>
        <v>2604.9315000000001</v>
      </c>
      <c r="CV14" s="51">
        <f t="shared" si="10"/>
        <v>3000.3349199999998</v>
      </c>
      <c r="CW14" s="3">
        <f t="shared" si="11"/>
        <v>3480.7349999999997</v>
      </c>
      <c r="CX14" s="51">
        <f t="shared" si="12"/>
        <v>2627.7689999999998</v>
      </c>
      <c r="CY14" s="3">
        <f t="shared" si="13"/>
        <v>3033.3436199999996</v>
      </c>
      <c r="CZ14" s="3">
        <f t="shared" si="14"/>
        <v>3521.91</v>
      </c>
      <c r="DA14" s="51">
        <f t="shared" si="15"/>
        <v>2650.6064999999999</v>
      </c>
      <c r="DB14" s="3">
        <f t="shared" si="16"/>
        <v>3066.35232</v>
      </c>
      <c r="DC14" s="3">
        <f t="shared" si="17"/>
        <v>3563.085</v>
      </c>
      <c r="DD14" s="51">
        <f t="shared" si="18"/>
        <v>2673.444</v>
      </c>
      <c r="DE14" s="3">
        <f t="shared" si="19"/>
        <v>3099.3610199999998</v>
      </c>
      <c r="DF14" s="3">
        <f t="shared" si="20"/>
        <v>3604.2599999999998</v>
      </c>
      <c r="DG14" s="51">
        <f t="shared" si="21"/>
        <v>2696.2815000000001</v>
      </c>
      <c r="DH14" s="3">
        <f t="shared" si="22"/>
        <v>3132.3697199999997</v>
      </c>
      <c r="DI14" s="3">
        <f t="shared" si="23"/>
        <v>3645.4349999999999</v>
      </c>
      <c r="DJ14" s="51">
        <f t="shared" si="24"/>
        <v>2719.1190000000001</v>
      </c>
      <c r="DK14" s="3">
        <f t="shared" si="25"/>
        <v>3165.37842</v>
      </c>
      <c r="DL14" s="3">
        <f t="shared" si="26"/>
        <v>3686.6099999999992</v>
      </c>
      <c r="DM14" s="51">
        <f t="shared" si="27"/>
        <v>88651.894</v>
      </c>
      <c r="DN14" s="3">
        <f t="shared" si="28"/>
        <v>101878.20022</v>
      </c>
      <c r="DO14" s="3">
        <f t="shared" si="29"/>
        <v>118091.56</v>
      </c>
      <c r="DP14" s="51">
        <f t="shared" si="30"/>
        <v>89435.981500000009</v>
      </c>
      <c r="DQ14" s="51">
        <f t="shared" si="31"/>
        <v>103011.49891999998</v>
      </c>
      <c r="DR14" s="3">
        <f t="shared" si="32"/>
        <v>119505.235</v>
      </c>
      <c r="DS14" s="51">
        <f t="shared" si="33"/>
        <v>90220.069000000003</v>
      </c>
      <c r="DT14" s="3">
        <f t="shared" si="34"/>
        <v>104144.79762</v>
      </c>
      <c r="DU14" s="3">
        <f t="shared" si="35"/>
        <v>120918.91</v>
      </c>
      <c r="DV14" s="51">
        <f t="shared" si="36"/>
        <v>91004.156499999997</v>
      </c>
      <c r="DW14" s="3">
        <f t="shared" si="37"/>
        <v>105278.09632000001</v>
      </c>
      <c r="DX14" s="3">
        <f t="shared" si="38"/>
        <v>122332.58500000001</v>
      </c>
      <c r="DY14" s="51">
        <f t="shared" si="39"/>
        <v>91788.244000000006</v>
      </c>
      <c r="DZ14" s="3">
        <f t="shared" si="40"/>
        <v>106411.39502</v>
      </c>
      <c r="EA14" s="3">
        <f t="shared" si="41"/>
        <v>123746.26</v>
      </c>
      <c r="EB14" s="51">
        <f t="shared" si="42"/>
        <v>92572.3315</v>
      </c>
      <c r="EC14" s="3">
        <f t="shared" si="43"/>
        <v>107544.69372</v>
      </c>
      <c r="ED14" s="3">
        <f t="shared" si="44"/>
        <v>125159.935</v>
      </c>
      <c r="EE14" s="51">
        <f t="shared" si="45"/>
        <v>93356.419000000009</v>
      </c>
      <c r="EF14" s="3">
        <f t="shared" si="46"/>
        <v>108677.99242</v>
      </c>
      <c r="EG14" s="3">
        <f t="shared" si="47"/>
        <v>126573.60999999999</v>
      </c>
    </row>
    <row r="15" spans="1:137" ht="18.75" x14ac:dyDescent="0.25">
      <c r="A15" s="4" t="s">
        <v>6</v>
      </c>
      <c r="B15" s="2" t="s">
        <v>227</v>
      </c>
      <c r="C15" s="4">
        <f>I1</f>
        <v>16300</v>
      </c>
      <c r="D15" s="4">
        <v>3.0760000000000001</v>
      </c>
      <c r="E15" s="4">
        <v>3.4</v>
      </c>
      <c r="F15" s="4">
        <v>3.94</v>
      </c>
      <c r="G15" s="4">
        <v>2.7360000000000002</v>
      </c>
      <c r="H15" s="4">
        <v>3.06</v>
      </c>
      <c r="I15" s="89">
        <v>3.6</v>
      </c>
      <c r="J15" s="97">
        <v>3.0760000000000001</v>
      </c>
      <c r="K15" s="2">
        <v>3.4</v>
      </c>
      <c r="L15" s="98">
        <v>3.94</v>
      </c>
      <c r="M15" s="97">
        <f t="shared" si="87"/>
        <v>3.1760000000000002</v>
      </c>
      <c r="N15" s="2">
        <f t="shared" si="88"/>
        <v>3.5</v>
      </c>
      <c r="O15" s="98">
        <f t="shared" si="89"/>
        <v>4.04</v>
      </c>
      <c r="P15" s="97">
        <f t="shared" si="90"/>
        <v>3.2760000000000002</v>
      </c>
      <c r="Q15" s="2">
        <f t="shared" si="91"/>
        <v>3.6</v>
      </c>
      <c r="R15" s="98">
        <f t="shared" si="92"/>
        <v>4.1399999999999997</v>
      </c>
      <c r="S15" s="97">
        <f t="shared" si="93"/>
        <v>3.3760000000000003</v>
      </c>
      <c r="T15" s="2">
        <f t="shared" si="94"/>
        <v>3.7</v>
      </c>
      <c r="U15" s="98">
        <f t="shared" si="95"/>
        <v>4.2399999999999993</v>
      </c>
      <c r="V15" s="97">
        <f t="shared" si="96"/>
        <v>3.4760000000000004</v>
      </c>
      <c r="W15" s="2">
        <f t="shared" si="97"/>
        <v>3.8000000000000003</v>
      </c>
      <c r="X15" s="98">
        <f t="shared" si="98"/>
        <v>4.339999999999999</v>
      </c>
      <c r="Y15" s="97">
        <f t="shared" si="99"/>
        <v>3.5760000000000005</v>
      </c>
      <c r="Z15" s="2">
        <f t="shared" si="100"/>
        <v>3.9000000000000004</v>
      </c>
      <c r="AA15" s="98">
        <f t="shared" si="101"/>
        <v>4.4399999999999986</v>
      </c>
      <c r="AB15" s="97">
        <f t="shared" si="102"/>
        <v>3.6760000000000006</v>
      </c>
      <c r="AC15" s="2">
        <f t="shared" si="103"/>
        <v>4</v>
      </c>
      <c r="AD15" s="98">
        <f t="shared" si="104"/>
        <v>4.5399999999999983</v>
      </c>
      <c r="AE15" s="53">
        <v>2.7360000000000002</v>
      </c>
      <c r="AF15" s="2">
        <v>3.06</v>
      </c>
      <c r="AG15" s="2">
        <v>3.6</v>
      </c>
      <c r="AH15" s="41">
        <f t="shared" si="48"/>
        <v>2.8360000000000003</v>
      </c>
      <c r="AI15" s="41">
        <f t="shared" si="49"/>
        <v>3.16</v>
      </c>
      <c r="AJ15" s="41">
        <f t="shared" si="50"/>
        <v>3.7</v>
      </c>
      <c r="AK15" s="41">
        <f t="shared" si="51"/>
        <v>2.9360000000000004</v>
      </c>
      <c r="AL15" s="42">
        <f t="shared" si="52"/>
        <v>3.2600000000000002</v>
      </c>
      <c r="AM15" s="42">
        <f t="shared" si="53"/>
        <v>3.8000000000000003</v>
      </c>
      <c r="AN15" s="42">
        <f t="shared" si="54"/>
        <v>3.0360000000000005</v>
      </c>
      <c r="AO15" s="42">
        <f t="shared" si="55"/>
        <v>3.3600000000000003</v>
      </c>
      <c r="AP15" s="42">
        <f t="shared" si="56"/>
        <v>3.9000000000000004</v>
      </c>
      <c r="AQ15" s="42">
        <f t="shared" si="57"/>
        <v>3.1360000000000006</v>
      </c>
      <c r="AR15" s="42">
        <f t="shared" si="58"/>
        <v>3.4600000000000004</v>
      </c>
      <c r="AS15" s="42">
        <f t="shared" si="59"/>
        <v>4</v>
      </c>
      <c r="AT15" s="42">
        <f t="shared" si="60"/>
        <v>3.2360000000000007</v>
      </c>
      <c r="AU15" s="42">
        <f t="shared" si="61"/>
        <v>3.5600000000000005</v>
      </c>
      <c r="AV15" s="42">
        <f t="shared" si="62"/>
        <v>4.0999999999999996</v>
      </c>
      <c r="AW15" s="42">
        <f t="shared" si="63"/>
        <v>3.3360000000000007</v>
      </c>
      <c r="AX15" s="42">
        <f t="shared" si="64"/>
        <v>3.6600000000000006</v>
      </c>
      <c r="AY15" s="47">
        <f t="shared" si="65"/>
        <v>4.1999999999999993</v>
      </c>
      <c r="AZ15" s="51">
        <f t="shared" si="66"/>
        <v>16723.800000000003</v>
      </c>
      <c r="BA15" s="3">
        <f t="shared" si="67"/>
        <v>29078.874</v>
      </c>
      <c r="BB15" s="3">
        <f t="shared" si="68"/>
        <v>44010</v>
      </c>
      <c r="BC15" s="41">
        <f t="shared" si="69"/>
        <v>17335.050000000003</v>
      </c>
      <c r="BD15" s="41">
        <f t="shared" si="70"/>
        <v>30029.163999999997</v>
      </c>
      <c r="BE15" s="41">
        <f t="shared" si="71"/>
        <v>45232.5</v>
      </c>
      <c r="BF15" s="41">
        <f t="shared" si="72"/>
        <v>17946.300000000003</v>
      </c>
      <c r="BG15" s="42">
        <f t="shared" si="73"/>
        <v>30979.454000000002</v>
      </c>
      <c r="BH15" s="42">
        <f t="shared" si="74"/>
        <v>46455.000000000007</v>
      </c>
      <c r="BI15" s="42">
        <f t="shared" si="75"/>
        <v>18557.550000000003</v>
      </c>
      <c r="BJ15" s="42">
        <f t="shared" si="76"/>
        <v>31929.744000000002</v>
      </c>
      <c r="BK15" s="42">
        <f t="shared" si="77"/>
        <v>47677.500000000007</v>
      </c>
      <c r="BL15" s="42">
        <f t="shared" si="78"/>
        <v>19168.800000000003</v>
      </c>
      <c r="BM15" s="42">
        <f t="shared" si="79"/>
        <v>32880.034</v>
      </c>
      <c r="BN15" s="42">
        <f t="shared" si="80"/>
        <v>48900</v>
      </c>
      <c r="BO15" s="42">
        <f t="shared" si="81"/>
        <v>19780.050000000003</v>
      </c>
      <c r="BP15" s="42">
        <f t="shared" si="82"/>
        <v>33830.324000000001</v>
      </c>
      <c r="BQ15" s="42">
        <f t="shared" si="83"/>
        <v>50122.5</v>
      </c>
      <c r="BR15" s="42">
        <f t="shared" si="84"/>
        <v>20391.300000000003</v>
      </c>
      <c r="BS15" s="42">
        <f t="shared" si="85"/>
        <v>34780.614000000001</v>
      </c>
      <c r="BT15" s="47">
        <f t="shared" si="86"/>
        <v>51344.999999999985</v>
      </c>
      <c r="BU15" s="51">
        <f t="shared" si="105"/>
        <v>4104</v>
      </c>
      <c r="BV15" s="3">
        <f t="shared" si="106"/>
        <v>4590</v>
      </c>
      <c r="BW15" s="3">
        <f t="shared" si="107"/>
        <v>5400</v>
      </c>
      <c r="BX15" s="51">
        <f t="shared" si="108"/>
        <v>4254</v>
      </c>
      <c r="BY15" s="3">
        <f t="shared" si="109"/>
        <v>4740</v>
      </c>
      <c r="BZ15" s="3">
        <f t="shared" si="110"/>
        <v>5550</v>
      </c>
      <c r="CA15" s="51">
        <f t="shared" si="111"/>
        <v>4404.0000000000009</v>
      </c>
      <c r="CB15" s="3">
        <f t="shared" si="112"/>
        <v>4890</v>
      </c>
      <c r="CC15" s="3">
        <f t="shared" si="113"/>
        <v>5700</v>
      </c>
      <c r="CD15" s="51">
        <f t="shared" si="114"/>
        <v>4554.0000000000009</v>
      </c>
      <c r="CE15" s="3">
        <f t="shared" si="115"/>
        <v>5040.0000000000009</v>
      </c>
      <c r="CF15" s="3">
        <f t="shared" si="116"/>
        <v>5850.0000000000009</v>
      </c>
      <c r="CG15" s="51">
        <f t="shared" si="117"/>
        <v>4704.0000000000009</v>
      </c>
      <c r="CH15" s="3">
        <f t="shared" si="118"/>
        <v>5190.0000000000009</v>
      </c>
      <c r="CI15" s="3">
        <f t="shared" si="119"/>
        <v>6000</v>
      </c>
      <c r="CJ15" s="51">
        <f t="shared" si="120"/>
        <v>4854.0000000000009</v>
      </c>
      <c r="CK15" s="3">
        <f t="shared" si="121"/>
        <v>5340.0000000000009</v>
      </c>
      <c r="CL15" s="3">
        <f t="shared" si="122"/>
        <v>6149.9999999999991</v>
      </c>
      <c r="CM15" s="51">
        <f t="shared" si="123"/>
        <v>5004.0000000000009</v>
      </c>
      <c r="CN15" s="3">
        <f t="shared" si="124"/>
        <v>5490.0000000000009</v>
      </c>
      <c r="CO15" s="3">
        <f t="shared" si="125"/>
        <v>6299.9999999999991</v>
      </c>
      <c r="CP15" s="34">
        <v>1.7</v>
      </c>
      <c r="CQ15" s="60">
        <v>66000</v>
      </c>
      <c r="CR15" s="51">
        <f t="shared" si="6"/>
        <v>2604.8339999999998</v>
      </c>
      <c r="CS15" s="3">
        <f t="shared" si="7"/>
        <v>2990.0662199999997</v>
      </c>
      <c r="CT15" s="3">
        <f t="shared" si="8"/>
        <v>3462.2999999999997</v>
      </c>
      <c r="CU15" s="51">
        <f t="shared" si="9"/>
        <v>2627.6714999999999</v>
      </c>
      <c r="CV15" s="51">
        <f t="shared" si="10"/>
        <v>3023.0749199999996</v>
      </c>
      <c r="CW15" s="3">
        <f t="shared" si="11"/>
        <v>3503.4749999999999</v>
      </c>
      <c r="CX15" s="51">
        <f t="shared" si="12"/>
        <v>2650.509</v>
      </c>
      <c r="CY15" s="3">
        <f t="shared" si="13"/>
        <v>3056.0836199999999</v>
      </c>
      <c r="CZ15" s="3">
        <f t="shared" si="14"/>
        <v>3544.65</v>
      </c>
      <c r="DA15" s="51">
        <f t="shared" si="15"/>
        <v>2673.3465000000001</v>
      </c>
      <c r="DB15" s="3">
        <f t="shared" si="16"/>
        <v>3089.0923200000002</v>
      </c>
      <c r="DC15" s="3">
        <f t="shared" si="17"/>
        <v>3585.8249999999998</v>
      </c>
      <c r="DD15" s="51">
        <f t="shared" si="18"/>
        <v>2696.1840000000002</v>
      </c>
      <c r="DE15" s="3">
        <f t="shared" si="19"/>
        <v>3122.1010200000001</v>
      </c>
      <c r="DF15" s="3">
        <f t="shared" si="20"/>
        <v>3627</v>
      </c>
      <c r="DG15" s="51">
        <f t="shared" si="21"/>
        <v>2719.0214999999998</v>
      </c>
      <c r="DH15" s="3">
        <f t="shared" si="22"/>
        <v>3155.1097199999995</v>
      </c>
      <c r="DI15" s="3">
        <f t="shared" si="23"/>
        <v>3668.1749999999997</v>
      </c>
      <c r="DJ15" s="51">
        <f t="shared" si="24"/>
        <v>2741.8589999999999</v>
      </c>
      <c r="DK15" s="3">
        <f t="shared" si="25"/>
        <v>3188.1184199999998</v>
      </c>
      <c r="DL15" s="3">
        <f t="shared" si="26"/>
        <v>3709.3499999999995</v>
      </c>
      <c r="DM15" s="51">
        <f t="shared" si="27"/>
        <v>89432.634000000005</v>
      </c>
      <c r="DN15" s="3">
        <f t="shared" si="28"/>
        <v>102658.94021999999</v>
      </c>
      <c r="DO15" s="3">
        <f t="shared" si="29"/>
        <v>118872.3</v>
      </c>
      <c r="DP15" s="51">
        <f t="shared" si="30"/>
        <v>90216.7215</v>
      </c>
      <c r="DQ15" s="51">
        <f t="shared" si="31"/>
        <v>103792.23891999999</v>
      </c>
      <c r="DR15" s="3">
        <f t="shared" si="32"/>
        <v>120285.97500000001</v>
      </c>
      <c r="DS15" s="51">
        <f t="shared" si="33"/>
        <v>91000.809000000008</v>
      </c>
      <c r="DT15" s="3">
        <f t="shared" si="34"/>
        <v>104925.53762</v>
      </c>
      <c r="DU15" s="3">
        <f t="shared" si="35"/>
        <v>121699.65</v>
      </c>
      <c r="DV15" s="51">
        <f t="shared" si="36"/>
        <v>91784.896500000003</v>
      </c>
      <c r="DW15" s="3">
        <f t="shared" si="37"/>
        <v>106058.83632</v>
      </c>
      <c r="DX15" s="3">
        <f t="shared" si="38"/>
        <v>123113.325</v>
      </c>
      <c r="DY15" s="51">
        <f t="shared" si="39"/>
        <v>92568.983999999997</v>
      </c>
      <c r="DZ15" s="3">
        <f t="shared" si="40"/>
        <v>107192.13502</v>
      </c>
      <c r="EA15" s="3">
        <f t="shared" si="41"/>
        <v>124527</v>
      </c>
      <c r="EB15" s="51">
        <f t="shared" si="42"/>
        <v>93353.071500000005</v>
      </c>
      <c r="EC15" s="3">
        <f t="shared" si="43"/>
        <v>108325.43371999999</v>
      </c>
      <c r="ED15" s="3">
        <f t="shared" si="44"/>
        <v>125940.675</v>
      </c>
      <c r="EE15" s="51">
        <f t="shared" si="45"/>
        <v>94137.159</v>
      </c>
      <c r="EF15" s="3">
        <f t="shared" si="46"/>
        <v>109458.73242</v>
      </c>
      <c r="EG15" s="3">
        <f t="shared" si="47"/>
        <v>127354.34999999999</v>
      </c>
    </row>
    <row r="16" spans="1:137" ht="18.75" x14ac:dyDescent="0.25">
      <c r="A16" s="4" t="s">
        <v>6</v>
      </c>
      <c r="B16" s="2" t="s">
        <v>10</v>
      </c>
      <c r="C16" s="4">
        <f>I1</f>
        <v>16300</v>
      </c>
      <c r="D16" s="4">
        <v>3.0920000000000001</v>
      </c>
      <c r="E16" s="4">
        <v>3.4340000000000002</v>
      </c>
      <c r="F16" s="4">
        <v>4.0039999999999996</v>
      </c>
      <c r="G16" s="4">
        <v>2.8879999999999999</v>
      </c>
      <c r="H16" s="4">
        <v>3.23</v>
      </c>
      <c r="I16" s="89">
        <v>3.8</v>
      </c>
      <c r="J16" s="97">
        <v>3.0920000000000001</v>
      </c>
      <c r="K16" s="2">
        <v>3.4340000000000002</v>
      </c>
      <c r="L16" s="98">
        <v>4.0039999999999996</v>
      </c>
      <c r="M16" s="97">
        <f t="shared" si="87"/>
        <v>3.1920000000000002</v>
      </c>
      <c r="N16" s="2">
        <f t="shared" si="88"/>
        <v>3.5340000000000003</v>
      </c>
      <c r="O16" s="98">
        <f t="shared" si="89"/>
        <v>4.1039999999999992</v>
      </c>
      <c r="P16" s="97">
        <f t="shared" si="90"/>
        <v>3.2920000000000003</v>
      </c>
      <c r="Q16" s="2">
        <f t="shared" si="91"/>
        <v>3.6340000000000003</v>
      </c>
      <c r="R16" s="98">
        <f t="shared" si="92"/>
        <v>4.2039999999999988</v>
      </c>
      <c r="S16" s="97">
        <f t="shared" si="93"/>
        <v>3.3920000000000003</v>
      </c>
      <c r="T16" s="2">
        <f t="shared" si="94"/>
        <v>3.7340000000000004</v>
      </c>
      <c r="U16" s="98">
        <f t="shared" si="95"/>
        <v>4.3039999999999985</v>
      </c>
      <c r="V16" s="97">
        <f t="shared" si="96"/>
        <v>3.4920000000000004</v>
      </c>
      <c r="W16" s="2">
        <f t="shared" si="97"/>
        <v>3.8340000000000005</v>
      </c>
      <c r="X16" s="98">
        <f t="shared" si="98"/>
        <v>4.4039999999999981</v>
      </c>
      <c r="Y16" s="97">
        <f t="shared" si="99"/>
        <v>3.5920000000000005</v>
      </c>
      <c r="Z16" s="2">
        <f t="shared" si="100"/>
        <v>3.9340000000000006</v>
      </c>
      <c r="AA16" s="98">
        <f t="shared" si="101"/>
        <v>4.5039999999999978</v>
      </c>
      <c r="AB16" s="97">
        <f t="shared" si="102"/>
        <v>3.6920000000000006</v>
      </c>
      <c r="AC16" s="2">
        <f t="shared" si="103"/>
        <v>4.0340000000000007</v>
      </c>
      <c r="AD16" s="98">
        <f t="shared" si="104"/>
        <v>4.6039999999999974</v>
      </c>
      <c r="AE16" s="53">
        <v>2.8879999999999999</v>
      </c>
      <c r="AF16" s="2">
        <v>3.23</v>
      </c>
      <c r="AG16" s="2">
        <v>3.8</v>
      </c>
      <c r="AH16" s="41">
        <f t="shared" si="48"/>
        <v>2.988</v>
      </c>
      <c r="AI16" s="41">
        <f t="shared" si="49"/>
        <v>3.33</v>
      </c>
      <c r="AJ16" s="41">
        <f t="shared" si="50"/>
        <v>3.9</v>
      </c>
      <c r="AK16" s="41">
        <f t="shared" si="51"/>
        <v>3.0880000000000001</v>
      </c>
      <c r="AL16" s="42">
        <f t="shared" si="52"/>
        <v>3.43</v>
      </c>
      <c r="AM16" s="42">
        <f t="shared" si="53"/>
        <v>4</v>
      </c>
      <c r="AN16" s="42">
        <f t="shared" si="54"/>
        <v>3.1880000000000002</v>
      </c>
      <c r="AO16" s="42">
        <f t="shared" si="55"/>
        <v>3.5300000000000002</v>
      </c>
      <c r="AP16" s="42">
        <f t="shared" si="56"/>
        <v>4.0999999999999996</v>
      </c>
      <c r="AQ16" s="42">
        <f t="shared" si="57"/>
        <v>3.2880000000000003</v>
      </c>
      <c r="AR16" s="42">
        <f t="shared" si="58"/>
        <v>3.6300000000000003</v>
      </c>
      <c r="AS16" s="42">
        <f t="shared" si="59"/>
        <v>4.1999999999999993</v>
      </c>
      <c r="AT16" s="42">
        <f t="shared" si="60"/>
        <v>3.3880000000000003</v>
      </c>
      <c r="AU16" s="42">
        <f t="shared" si="61"/>
        <v>3.7300000000000004</v>
      </c>
      <c r="AV16" s="42">
        <f t="shared" si="62"/>
        <v>4.2999999999999989</v>
      </c>
      <c r="AW16" s="42">
        <f t="shared" si="63"/>
        <v>3.4880000000000004</v>
      </c>
      <c r="AX16" s="42">
        <f t="shared" si="64"/>
        <v>3.8300000000000005</v>
      </c>
      <c r="AY16" s="47">
        <f t="shared" si="65"/>
        <v>4.3999999999999986</v>
      </c>
      <c r="AZ16" s="51">
        <f t="shared" si="66"/>
        <v>17652.900000000001</v>
      </c>
      <c r="BA16" s="3">
        <f t="shared" si="67"/>
        <v>30694.366999999998</v>
      </c>
      <c r="BB16" s="3">
        <f t="shared" si="68"/>
        <v>46455</v>
      </c>
      <c r="BC16" s="41">
        <f t="shared" si="69"/>
        <v>18264.150000000001</v>
      </c>
      <c r="BD16" s="41">
        <f t="shared" si="70"/>
        <v>31644.656999999999</v>
      </c>
      <c r="BE16" s="41">
        <f t="shared" si="71"/>
        <v>47677.5</v>
      </c>
      <c r="BF16" s="41">
        <f t="shared" si="72"/>
        <v>18875.400000000001</v>
      </c>
      <c r="BG16" s="42">
        <f t="shared" si="73"/>
        <v>32594.946999999996</v>
      </c>
      <c r="BH16" s="42">
        <f t="shared" si="74"/>
        <v>48900</v>
      </c>
      <c r="BI16" s="42">
        <f t="shared" si="75"/>
        <v>19486.650000000001</v>
      </c>
      <c r="BJ16" s="42">
        <f t="shared" si="76"/>
        <v>33545.237000000001</v>
      </c>
      <c r="BK16" s="42">
        <f t="shared" si="77"/>
        <v>50122.5</v>
      </c>
      <c r="BL16" s="42">
        <f t="shared" si="78"/>
        <v>20097.900000000001</v>
      </c>
      <c r="BM16" s="42">
        <f t="shared" si="79"/>
        <v>34495.527000000002</v>
      </c>
      <c r="BN16" s="42">
        <f t="shared" si="80"/>
        <v>51344.999999999985</v>
      </c>
      <c r="BO16" s="42">
        <f t="shared" si="81"/>
        <v>20709.150000000001</v>
      </c>
      <c r="BP16" s="42">
        <f t="shared" si="82"/>
        <v>35445.817000000003</v>
      </c>
      <c r="BQ16" s="42">
        <f t="shared" si="83"/>
        <v>52567.499999999985</v>
      </c>
      <c r="BR16" s="42">
        <f t="shared" si="84"/>
        <v>21320.400000000001</v>
      </c>
      <c r="BS16" s="42">
        <f t="shared" si="85"/>
        <v>36396.107000000004</v>
      </c>
      <c r="BT16" s="47">
        <f t="shared" si="86"/>
        <v>53789.999999999978</v>
      </c>
      <c r="BU16" s="51">
        <f t="shared" si="105"/>
        <v>4332</v>
      </c>
      <c r="BV16" s="3">
        <f t="shared" si="106"/>
        <v>4845</v>
      </c>
      <c r="BW16" s="3">
        <f t="shared" si="107"/>
        <v>5700</v>
      </c>
      <c r="BX16" s="51">
        <f t="shared" si="108"/>
        <v>4482</v>
      </c>
      <c r="BY16" s="3">
        <f t="shared" si="109"/>
        <v>4995</v>
      </c>
      <c r="BZ16" s="3">
        <f t="shared" si="110"/>
        <v>5850</v>
      </c>
      <c r="CA16" s="51">
        <f t="shared" si="111"/>
        <v>4632</v>
      </c>
      <c r="CB16" s="3">
        <f t="shared" si="112"/>
        <v>5145</v>
      </c>
      <c r="CC16" s="3">
        <f t="shared" si="113"/>
        <v>6000</v>
      </c>
      <c r="CD16" s="51">
        <f t="shared" si="114"/>
        <v>4782</v>
      </c>
      <c r="CE16" s="3">
        <f t="shared" si="115"/>
        <v>5295</v>
      </c>
      <c r="CF16" s="3">
        <f t="shared" si="116"/>
        <v>6149.9999999999991</v>
      </c>
      <c r="CG16" s="51">
        <f t="shared" si="117"/>
        <v>4932</v>
      </c>
      <c r="CH16" s="3">
        <f t="shared" si="118"/>
        <v>5445.0000000000009</v>
      </c>
      <c r="CI16" s="3">
        <f t="shared" si="119"/>
        <v>6299.9999999999991</v>
      </c>
      <c r="CJ16" s="51">
        <f t="shared" si="120"/>
        <v>5082.0000000000009</v>
      </c>
      <c r="CK16" s="3">
        <f t="shared" si="121"/>
        <v>5595.0000000000009</v>
      </c>
      <c r="CL16" s="3">
        <f t="shared" si="122"/>
        <v>6449.9999999999982</v>
      </c>
      <c r="CM16" s="51">
        <f t="shared" si="123"/>
        <v>5232.0000000000009</v>
      </c>
      <c r="CN16" s="3">
        <f t="shared" si="124"/>
        <v>5745.0000000000009</v>
      </c>
      <c r="CO16" s="3">
        <f t="shared" si="125"/>
        <v>6599.9999999999982</v>
      </c>
      <c r="CP16" s="34">
        <v>1.02</v>
      </c>
      <c r="CQ16" s="60">
        <v>33600</v>
      </c>
      <c r="CR16" s="51">
        <f t="shared" si="6"/>
        <v>1667.547</v>
      </c>
      <c r="CS16" s="3">
        <f t="shared" si="7"/>
        <v>2074.1810099999998</v>
      </c>
      <c r="CT16" s="3">
        <f t="shared" si="8"/>
        <v>2572.65</v>
      </c>
      <c r="CU16" s="51">
        <f t="shared" si="9"/>
        <v>1690.3844999999999</v>
      </c>
      <c r="CV16" s="51">
        <f t="shared" si="10"/>
        <v>2107.1897100000001</v>
      </c>
      <c r="CW16" s="3">
        <f t="shared" si="11"/>
        <v>2613.8249999999998</v>
      </c>
      <c r="CX16" s="51">
        <f t="shared" si="12"/>
        <v>1713.222</v>
      </c>
      <c r="CY16" s="3">
        <f t="shared" si="13"/>
        <v>2140.19841</v>
      </c>
      <c r="CZ16" s="3">
        <f t="shared" si="14"/>
        <v>2655</v>
      </c>
      <c r="DA16" s="51">
        <f t="shared" si="15"/>
        <v>1736.0595000000001</v>
      </c>
      <c r="DB16" s="3">
        <f t="shared" si="16"/>
        <v>2173.2071099999998</v>
      </c>
      <c r="DC16" s="3">
        <f t="shared" si="17"/>
        <v>2696.1749999999997</v>
      </c>
      <c r="DD16" s="51">
        <f t="shared" si="18"/>
        <v>1758.8969999999999</v>
      </c>
      <c r="DE16" s="3">
        <f t="shared" si="19"/>
        <v>2206.2158100000001</v>
      </c>
      <c r="DF16" s="3">
        <f t="shared" si="20"/>
        <v>2737.3499999999995</v>
      </c>
      <c r="DG16" s="51">
        <f t="shared" si="21"/>
        <v>1781.7345</v>
      </c>
      <c r="DH16" s="3">
        <f t="shared" si="22"/>
        <v>2239.22451</v>
      </c>
      <c r="DI16" s="3">
        <f t="shared" si="23"/>
        <v>2778.5249999999996</v>
      </c>
      <c r="DJ16" s="51">
        <f t="shared" si="24"/>
        <v>1804.5719999999999</v>
      </c>
      <c r="DK16" s="3">
        <f t="shared" si="25"/>
        <v>2272.2332099999999</v>
      </c>
      <c r="DL16" s="3">
        <f t="shared" si="26"/>
        <v>2819.6999999999989</v>
      </c>
      <c r="DM16" s="51">
        <f t="shared" si="27"/>
        <v>57252.447</v>
      </c>
      <c r="DN16" s="3">
        <f t="shared" si="28"/>
        <v>71213.548009999999</v>
      </c>
      <c r="DO16" s="3">
        <f t="shared" si="29"/>
        <v>88327.65</v>
      </c>
      <c r="DP16" s="51">
        <f t="shared" si="30"/>
        <v>58036.534500000002</v>
      </c>
      <c r="DQ16" s="51">
        <f t="shared" si="31"/>
        <v>72346.846710000013</v>
      </c>
      <c r="DR16" s="3">
        <f t="shared" si="32"/>
        <v>89741.324999999997</v>
      </c>
      <c r="DS16" s="51">
        <f t="shared" si="33"/>
        <v>58820.622000000003</v>
      </c>
      <c r="DT16" s="3">
        <f t="shared" si="34"/>
        <v>73480.145409999997</v>
      </c>
      <c r="DU16" s="3">
        <f t="shared" si="35"/>
        <v>91155</v>
      </c>
      <c r="DV16" s="51">
        <f t="shared" si="36"/>
        <v>59604.709500000004</v>
      </c>
      <c r="DW16" s="3">
        <f t="shared" si="37"/>
        <v>74613.444109999997</v>
      </c>
      <c r="DX16" s="3">
        <f t="shared" si="38"/>
        <v>92568.675000000003</v>
      </c>
      <c r="DY16" s="51">
        <f t="shared" si="39"/>
        <v>60388.796999999999</v>
      </c>
      <c r="DZ16" s="3">
        <f t="shared" si="40"/>
        <v>75746.742809999996</v>
      </c>
      <c r="EA16" s="3">
        <f t="shared" si="41"/>
        <v>93982.349999999991</v>
      </c>
      <c r="EB16" s="51">
        <f t="shared" si="42"/>
        <v>61172.8845</v>
      </c>
      <c r="EC16" s="3">
        <f t="shared" si="43"/>
        <v>76880.04151000001</v>
      </c>
      <c r="ED16" s="3">
        <f t="shared" si="44"/>
        <v>95396.02499999998</v>
      </c>
      <c r="EE16" s="51">
        <f t="shared" si="45"/>
        <v>61956.972000000002</v>
      </c>
      <c r="EF16" s="3">
        <f t="shared" si="46"/>
        <v>78013.340210000009</v>
      </c>
      <c r="EG16" s="3">
        <f t="shared" si="47"/>
        <v>96809.699999999968</v>
      </c>
    </row>
    <row r="17" spans="1:137" ht="18.75" x14ac:dyDescent="0.25">
      <c r="A17" s="4" t="s">
        <v>6</v>
      </c>
      <c r="B17" s="2" t="s">
        <v>229</v>
      </c>
      <c r="C17" s="4">
        <f>I1</f>
        <v>16300</v>
      </c>
      <c r="D17" s="4">
        <v>2.1230000000000002</v>
      </c>
      <c r="E17" s="4">
        <v>2.3319999999999999</v>
      </c>
      <c r="F17" s="4">
        <v>2.68</v>
      </c>
      <c r="G17" s="4">
        <v>1.7629999999999999</v>
      </c>
      <c r="H17" s="4">
        <v>1.972</v>
      </c>
      <c r="I17" s="89">
        <v>2.3199999999999998</v>
      </c>
      <c r="J17" s="97">
        <v>2.1230000000000002</v>
      </c>
      <c r="K17" s="2">
        <v>2.3319999999999999</v>
      </c>
      <c r="L17" s="98">
        <v>2.68</v>
      </c>
      <c r="M17" s="97">
        <f t="shared" si="87"/>
        <v>2.2230000000000003</v>
      </c>
      <c r="N17" s="2">
        <f t="shared" si="88"/>
        <v>2.4319999999999999</v>
      </c>
      <c r="O17" s="98">
        <f t="shared" si="89"/>
        <v>2.7800000000000002</v>
      </c>
      <c r="P17" s="97">
        <f t="shared" si="90"/>
        <v>2.3230000000000004</v>
      </c>
      <c r="Q17" s="2">
        <f t="shared" si="91"/>
        <v>2.532</v>
      </c>
      <c r="R17" s="98">
        <f t="shared" si="92"/>
        <v>2.8800000000000003</v>
      </c>
      <c r="S17" s="97">
        <f t="shared" si="93"/>
        <v>2.4230000000000005</v>
      </c>
      <c r="T17" s="2">
        <f t="shared" si="94"/>
        <v>2.6320000000000001</v>
      </c>
      <c r="U17" s="98">
        <f t="shared" si="95"/>
        <v>2.9800000000000004</v>
      </c>
      <c r="V17" s="97">
        <f t="shared" si="96"/>
        <v>2.5230000000000006</v>
      </c>
      <c r="W17" s="2">
        <f t="shared" si="97"/>
        <v>2.7320000000000002</v>
      </c>
      <c r="X17" s="98">
        <f t="shared" si="98"/>
        <v>3.0800000000000005</v>
      </c>
      <c r="Y17" s="97">
        <f t="shared" si="99"/>
        <v>2.6230000000000007</v>
      </c>
      <c r="Z17" s="2">
        <f t="shared" si="100"/>
        <v>2.8320000000000003</v>
      </c>
      <c r="AA17" s="98">
        <f t="shared" si="101"/>
        <v>3.1800000000000006</v>
      </c>
      <c r="AB17" s="97">
        <f t="shared" si="102"/>
        <v>2.7230000000000008</v>
      </c>
      <c r="AC17" s="2">
        <f t="shared" si="103"/>
        <v>2.9320000000000004</v>
      </c>
      <c r="AD17" s="98">
        <f t="shared" si="104"/>
        <v>3.2800000000000007</v>
      </c>
      <c r="AE17" s="53">
        <v>1.7629999999999999</v>
      </c>
      <c r="AF17" s="2">
        <v>1.972</v>
      </c>
      <c r="AG17" s="2">
        <v>2.3199999999999998</v>
      </c>
      <c r="AH17" s="41">
        <f t="shared" si="48"/>
        <v>1.863</v>
      </c>
      <c r="AI17" s="41">
        <f t="shared" si="49"/>
        <v>2.0720000000000001</v>
      </c>
      <c r="AJ17" s="41">
        <f t="shared" si="50"/>
        <v>2.42</v>
      </c>
      <c r="AK17" s="41">
        <f t="shared" si="51"/>
        <v>1.9630000000000001</v>
      </c>
      <c r="AL17" s="42">
        <f t="shared" si="52"/>
        <v>2.1720000000000002</v>
      </c>
      <c r="AM17" s="42">
        <f t="shared" si="53"/>
        <v>2.52</v>
      </c>
      <c r="AN17" s="42">
        <f t="shared" si="54"/>
        <v>2.0630000000000002</v>
      </c>
      <c r="AO17" s="42">
        <f t="shared" si="55"/>
        <v>2.2720000000000002</v>
      </c>
      <c r="AP17" s="42">
        <f t="shared" si="56"/>
        <v>2.62</v>
      </c>
      <c r="AQ17" s="42">
        <f t="shared" si="57"/>
        <v>2.1630000000000003</v>
      </c>
      <c r="AR17" s="42">
        <f t="shared" si="58"/>
        <v>2.3720000000000003</v>
      </c>
      <c r="AS17" s="42">
        <f t="shared" si="59"/>
        <v>2.72</v>
      </c>
      <c r="AT17" s="42">
        <f t="shared" si="60"/>
        <v>2.2630000000000003</v>
      </c>
      <c r="AU17" s="42">
        <f t="shared" si="61"/>
        <v>2.4720000000000004</v>
      </c>
      <c r="AV17" s="42">
        <f t="shared" si="62"/>
        <v>2.8200000000000003</v>
      </c>
      <c r="AW17" s="42">
        <f t="shared" si="63"/>
        <v>2.3630000000000004</v>
      </c>
      <c r="AX17" s="42">
        <f t="shared" si="64"/>
        <v>2.5720000000000005</v>
      </c>
      <c r="AY17" s="47">
        <f t="shared" si="65"/>
        <v>2.9200000000000004</v>
      </c>
      <c r="AZ17" s="51">
        <f t="shared" si="66"/>
        <v>10776.3375</v>
      </c>
      <c r="BA17" s="3">
        <f t="shared" si="67"/>
        <v>18739.718799999999</v>
      </c>
      <c r="BB17" s="3">
        <f t="shared" si="68"/>
        <v>28362</v>
      </c>
      <c r="BC17" s="41">
        <f t="shared" si="69"/>
        <v>11387.587500000001</v>
      </c>
      <c r="BD17" s="41">
        <f t="shared" si="70"/>
        <v>19690.0088</v>
      </c>
      <c r="BE17" s="41">
        <f t="shared" si="71"/>
        <v>29584.5</v>
      </c>
      <c r="BF17" s="41">
        <f t="shared" si="72"/>
        <v>11998.837500000001</v>
      </c>
      <c r="BG17" s="42">
        <f t="shared" si="73"/>
        <v>20640.2988</v>
      </c>
      <c r="BH17" s="42">
        <f t="shared" si="74"/>
        <v>30807</v>
      </c>
      <c r="BI17" s="42">
        <f t="shared" si="75"/>
        <v>12610.087500000001</v>
      </c>
      <c r="BJ17" s="42">
        <f t="shared" si="76"/>
        <v>21590.588800000001</v>
      </c>
      <c r="BK17" s="42">
        <f t="shared" si="77"/>
        <v>32029.5</v>
      </c>
      <c r="BL17" s="42">
        <f t="shared" si="78"/>
        <v>13221.337500000001</v>
      </c>
      <c r="BM17" s="42">
        <f t="shared" si="79"/>
        <v>22540.878800000002</v>
      </c>
      <c r="BN17" s="42">
        <f t="shared" si="80"/>
        <v>33252</v>
      </c>
      <c r="BO17" s="42">
        <f t="shared" si="81"/>
        <v>13832.587500000003</v>
      </c>
      <c r="BP17" s="42">
        <f t="shared" si="82"/>
        <v>23491.168800000003</v>
      </c>
      <c r="BQ17" s="42">
        <f t="shared" si="83"/>
        <v>34474.500000000007</v>
      </c>
      <c r="BR17" s="42">
        <f t="shared" si="84"/>
        <v>14443.837500000003</v>
      </c>
      <c r="BS17" s="42">
        <f t="shared" si="85"/>
        <v>24441.4588</v>
      </c>
      <c r="BT17" s="47">
        <f t="shared" si="86"/>
        <v>35697.000000000007</v>
      </c>
      <c r="BU17" s="51">
        <f t="shared" si="105"/>
        <v>2644.5</v>
      </c>
      <c r="BV17" s="3">
        <f t="shared" si="106"/>
        <v>2958</v>
      </c>
      <c r="BW17" s="3">
        <f t="shared" si="107"/>
        <v>3479.9999999999995</v>
      </c>
      <c r="BX17" s="51">
        <f t="shared" si="108"/>
        <v>2794.5</v>
      </c>
      <c r="BY17" s="3">
        <f t="shared" si="109"/>
        <v>3108</v>
      </c>
      <c r="BZ17" s="3">
        <f t="shared" si="110"/>
        <v>3630</v>
      </c>
      <c r="CA17" s="51">
        <f t="shared" si="111"/>
        <v>2944.5</v>
      </c>
      <c r="CB17" s="3">
        <f t="shared" si="112"/>
        <v>3258.0000000000005</v>
      </c>
      <c r="CC17" s="3">
        <f t="shared" si="113"/>
        <v>3780</v>
      </c>
      <c r="CD17" s="51">
        <f t="shared" si="114"/>
        <v>3094.5000000000005</v>
      </c>
      <c r="CE17" s="3">
        <f t="shared" si="115"/>
        <v>3408.0000000000005</v>
      </c>
      <c r="CF17" s="3">
        <f t="shared" si="116"/>
        <v>3930</v>
      </c>
      <c r="CG17" s="51">
        <f t="shared" si="117"/>
        <v>3244.5000000000005</v>
      </c>
      <c r="CH17" s="3">
        <f t="shared" si="118"/>
        <v>3558.0000000000005</v>
      </c>
      <c r="CI17" s="3">
        <f t="shared" si="119"/>
        <v>4080.0000000000005</v>
      </c>
      <c r="CJ17" s="51">
        <f t="shared" si="120"/>
        <v>3394.5000000000005</v>
      </c>
      <c r="CK17" s="3">
        <f t="shared" si="121"/>
        <v>3708.0000000000005</v>
      </c>
      <c r="CL17" s="3">
        <f t="shared" si="122"/>
        <v>4230</v>
      </c>
      <c r="CM17" s="51">
        <f t="shared" si="123"/>
        <v>3544.5000000000005</v>
      </c>
      <c r="CN17" s="3">
        <f t="shared" si="124"/>
        <v>3858.0000000000009</v>
      </c>
      <c r="CO17" s="3">
        <f t="shared" si="125"/>
        <v>4380.0000000000009</v>
      </c>
      <c r="CP17" s="34">
        <v>1.5</v>
      </c>
      <c r="CQ17" s="60">
        <v>45000</v>
      </c>
      <c r="CR17" s="51">
        <f t="shared" si="6"/>
        <v>1752.625125</v>
      </c>
      <c r="CS17" s="3">
        <f t="shared" si="7"/>
        <v>2000.931564</v>
      </c>
      <c r="CT17" s="3">
        <f t="shared" si="8"/>
        <v>2305.2599999999998</v>
      </c>
      <c r="CU17" s="51">
        <f t="shared" si="9"/>
        <v>1775.4626249999999</v>
      </c>
      <c r="CV17" s="51">
        <f t="shared" si="10"/>
        <v>2033.9402639999998</v>
      </c>
      <c r="CW17" s="3">
        <f t="shared" si="11"/>
        <v>2346.4349999999999</v>
      </c>
      <c r="CX17" s="51">
        <f t="shared" si="12"/>
        <v>1798.300125</v>
      </c>
      <c r="CY17" s="3">
        <f t="shared" si="13"/>
        <v>2066.9489640000002</v>
      </c>
      <c r="CZ17" s="3">
        <f t="shared" si="14"/>
        <v>2387.61</v>
      </c>
      <c r="DA17" s="51">
        <f t="shared" si="15"/>
        <v>1821.1376250000001</v>
      </c>
      <c r="DB17" s="3">
        <f t="shared" si="16"/>
        <v>2099.957664</v>
      </c>
      <c r="DC17" s="3">
        <f t="shared" si="17"/>
        <v>2428.7849999999999</v>
      </c>
      <c r="DD17" s="51">
        <f t="shared" si="18"/>
        <v>1843.9751249999999</v>
      </c>
      <c r="DE17" s="3">
        <f t="shared" si="19"/>
        <v>2132.9663639999999</v>
      </c>
      <c r="DF17" s="3">
        <f t="shared" si="20"/>
        <v>2469.96</v>
      </c>
      <c r="DG17" s="51">
        <f t="shared" si="21"/>
        <v>1866.8126250000003</v>
      </c>
      <c r="DH17" s="3">
        <f t="shared" si="22"/>
        <v>2165.9750639999997</v>
      </c>
      <c r="DI17" s="3">
        <f t="shared" si="23"/>
        <v>2511.1349999999998</v>
      </c>
      <c r="DJ17" s="51">
        <f t="shared" si="24"/>
        <v>1889.6501250000001</v>
      </c>
      <c r="DK17" s="3">
        <f t="shared" si="25"/>
        <v>2198.9837639999996</v>
      </c>
      <c r="DL17" s="3">
        <f t="shared" si="26"/>
        <v>2552.31</v>
      </c>
      <c r="DM17" s="51">
        <f t="shared" si="27"/>
        <v>60173.462625</v>
      </c>
      <c r="DN17" s="3">
        <f t="shared" si="28"/>
        <v>68698.650364000001</v>
      </c>
      <c r="DO17" s="3">
        <f t="shared" si="29"/>
        <v>79147.259999999995</v>
      </c>
      <c r="DP17" s="51">
        <f t="shared" si="30"/>
        <v>60957.550125000002</v>
      </c>
      <c r="DQ17" s="51">
        <f t="shared" si="31"/>
        <v>69831.949064</v>
      </c>
      <c r="DR17" s="3">
        <f t="shared" si="32"/>
        <v>80560.934999999998</v>
      </c>
      <c r="DS17" s="51">
        <f t="shared" si="33"/>
        <v>61741.637625000003</v>
      </c>
      <c r="DT17" s="3">
        <f t="shared" si="34"/>
        <v>70965.247764</v>
      </c>
      <c r="DU17" s="3">
        <f t="shared" si="35"/>
        <v>81974.61</v>
      </c>
      <c r="DV17" s="51">
        <f t="shared" si="36"/>
        <v>62525.725125000004</v>
      </c>
      <c r="DW17" s="3">
        <f t="shared" si="37"/>
        <v>72098.546463999999</v>
      </c>
      <c r="DX17" s="3">
        <f t="shared" si="38"/>
        <v>83388.285000000003</v>
      </c>
      <c r="DY17" s="51">
        <f t="shared" si="39"/>
        <v>63309.812624999999</v>
      </c>
      <c r="DZ17" s="3">
        <f t="shared" si="40"/>
        <v>73231.845163999998</v>
      </c>
      <c r="EA17" s="3">
        <f t="shared" si="41"/>
        <v>84801.96</v>
      </c>
      <c r="EB17" s="51">
        <f t="shared" si="42"/>
        <v>64093.900125000007</v>
      </c>
      <c r="EC17" s="3">
        <f t="shared" si="43"/>
        <v>74365.143863999998</v>
      </c>
      <c r="ED17" s="3">
        <f t="shared" si="44"/>
        <v>86215.634999999995</v>
      </c>
      <c r="EE17" s="51">
        <f t="shared" si="45"/>
        <v>64877.987625000009</v>
      </c>
      <c r="EF17" s="3">
        <f t="shared" si="46"/>
        <v>75498.442563999997</v>
      </c>
      <c r="EG17" s="3">
        <f t="shared" si="47"/>
        <v>87629.31</v>
      </c>
    </row>
    <row r="18" spans="1:137" ht="18.75" x14ac:dyDescent="0.25">
      <c r="A18" s="4" t="s">
        <v>6</v>
      </c>
      <c r="B18" s="2" t="s">
        <v>11</v>
      </c>
      <c r="C18" s="4">
        <f>I1</f>
        <v>16300</v>
      </c>
      <c r="D18" s="4">
        <v>5.61</v>
      </c>
      <c r="E18" s="4">
        <v>6.15</v>
      </c>
      <c r="F18" s="4">
        <v>7.05</v>
      </c>
      <c r="G18" s="4">
        <v>4.5599999999999996</v>
      </c>
      <c r="H18" s="4">
        <v>5.0999999999999996</v>
      </c>
      <c r="I18" s="89">
        <v>6</v>
      </c>
      <c r="J18" s="97">
        <v>5.61</v>
      </c>
      <c r="K18" s="2">
        <v>6.15</v>
      </c>
      <c r="L18" s="98">
        <v>7.05</v>
      </c>
      <c r="M18" s="97">
        <f t="shared" si="87"/>
        <v>5.71</v>
      </c>
      <c r="N18" s="2">
        <f t="shared" si="88"/>
        <v>6.25</v>
      </c>
      <c r="O18" s="98">
        <f t="shared" si="89"/>
        <v>7.1499999999999995</v>
      </c>
      <c r="P18" s="97">
        <f t="shared" si="90"/>
        <v>5.81</v>
      </c>
      <c r="Q18" s="2">
        <f t="shared" si="91"/>
        <v>6.35</v>
      </c>
      <c r="R18" s="98">
        <f t="shared" si="92"/>
        <v>7.2499999999999991</v>
      </c>
      <c r="S18" s="97">
        <f t="shared" si="93"/>
        <v>5.9099999999999993</v>
      </c>
      <c r="T18" s="2">
        <f t="shared" si="94"/>
        <v>6.4499999999999993</v>
      </c>
      <c r="U18" s="98">
        <f t="shared" si="95"/>
        <v>7.3499999999999988</v>
      </c>
      <c r="V18" s="97">
        <f t="shared" si="96"/>
        <v>6.0099999999999989</v>
      </c>
      <c r="W18" s="2">
        <f t="shared" si="97"/>
        <v>6.5499999999999989</v>
      </c>
      <c r="X18" s="98">
        <f t="shared" si="98"/>
        <v>7.4499999999999984</v>
      </c>
      <c r="Y18" s="97">
        <f t="shared" si="99"/>
        <v>6.1099999999999985</v>
      </c>
      <c r="Z18" s="2">
        <f t="shared" si="100"/>
        <v>6.6499999999999986</v>
      </c>
      <c r="AA18" s="98">
        <f t="shared" si="101"/>
        <v>7.549999999999998</v>
      </c>
      <c r="AB18" s="97">
        <f t="shared" si="102"/>
        <v>6.2099999999999982</v>
      </c>
      <c r="AC18" s="2">
        <f t="shared" si="103"/>
        <v>6.7499999999999982</v>
      </c>
      <c r="AD18" s="98">
        <f t="shared" si="104"/>
        <v>7.6499999999999977</v>
      </c>
      <c r="AE18" s="53">
        <v>4.5599999999999996</v>
      </c>
      <c r="AF18" s="2">
        <v>5.0999999999999996</v>
      </c>
      <c r="AG18" s="2">
        <v>6</v>
      </c>
      <c r="AH18" s="41">
        <f t="shared" si="48"/>
        <v>4.6599999999999993</v>
      </c>
      <c r="AI18" s="41">
        <f t="shared" si="49"/>
        <v>5.1999999999999993</v>
      </c>
      <c r="AJ18" s="41">
        <f t="shared" si="50"/>
        <v>6.1</v>
      </c>
      <c r="AK18" s="41">
        <f t="shared" si="51"/>
        <v>4.7599999999999989</v>
      </c>
      <c r="AL18" s="42">
        <f t="shared" si="52"/>
        <v>5.2999999999999989</v>
      </c>
      <c r="AM18" s="42">
        <f t="shared" si="53"/>
        <v>6.1999999999999993</v>
      </c>
      <c r="AN18" s="42">
        <f t="shared" si="54"/>
        <v>4.8599999999999985</v>
      </c>
      <c r="AO18" s="42">
        <f t="shared" si="55"/>
        <v>5.3999999999999986</v>
      </c>
      <c r="AP18" s="42">
        <f t="shared" si="56"/>
        <v>6.2999999999999989</v>
      </c>
      <c r="AQ18" s="42">
        <f t="shared" si="57"/>
        <v>4.9599999999999982</v>
      </c>
      <c r="AR18" s="42">
        <f t="shared" si="58"/>
        <v>5.4999999999999982</v>
      </c>
      <c r="AS18" s="42">
        <f t="shared" si="59"/>
        <v>6.3999999999999986</v>
      </c>
      <c r="AT18" s="42">
        <f t="shared" si="60"/>
        <v>5.0599999999999978</v>
      </c>
      <c r="AU18" s="42">
        <f t="shared" si="61"/>
        <v>5.5999999999999979</v>
      </c>
      <c r="AV18" s="42">
        <f t="shared" si="62"/>
        <v>6.4999999999999982</v>
      </c>
      <c r="AW18" s="42">
        <f t="shared" si="63"/>
        <v>5.1599999999999975</v>
      </c>
      <c r="AX18" s="42">
        <f t="shared" si="64"/>
        <v>5.6999999999999975</v>
      </c>
      <c r="AY18" s="47">
        <f t="shared" si="65"/>
        <v>6.5999999999999979</v>
      </c>
      <c r="AZ18" s="51">
        <f t="shared" si="66"/>
        <v>27873</v>
      </c>
      <c r="BA18" s="3">
        <f t="shared" si="67"/>
        <v>48464.789999999994</v>
      </c>
      <c r="BB18" s="3">
        <f t="shared" si="68"/>
        <v>73350</v>
      </c>
      <c r="BC18" s="41">
        <f t="shared" si="69"/>
        <v>28484.249999999993</v>
      </c>
      <c r="BD18" s="41">
        <f t="shared" si="70"/>
        <v>49415.079999999987</v>
      </c>
      <c r="BE18" s="41">
        <f t="shared" si="71"/>
        <v>74572.5</v>
      </c>
      <c r="BF18" s="41">
        <f t="shared" si="72"/>
        <v>29095.499999999993</v>
      </c>
      <c r="BG18" s="42">
        <f t="shared" si="73"/>
        <v>50365.369999999988</v>
      </c>
      <c r="BH18" s="42">
        <f t="shared" si="74"/>
        <v>75794.999999999985</v>
      </c>
      <c r="BI18" s="42">
        <f t="shared" si="75"/>
        <v>29706.749999999989</v>
      </c>
      <c r="BJ18" s="42">
        <f t="shared" si="76"/>
        <v>51315.659999999982</v>
      </c>
      <c r="BK18" s="42">
        <f t="shared" si="77"/>
        <v>77017.499999999985</v>
      </c>
      <c r="BL18" s="42">
        <f t="shared" si="78"/>
        <v>30317.999999999989</v>
      </c>
      <c r="BM18" s="42">
        <f t="shared" si="79"/>
        <v>52265.949999999983</v>
      </c>
      <c r="BN18" s="42">
        <f t="shared" si="80"/>
        <v>78239.999999999971</v>
      </c>
      <c r="BO18" s="42">
        <f t="shared" si="81"/>
        <v>30929.249999999989</v>
      </c>
      <c r="BP18" s="42">
        <f t="shared" si="82"/>
        <v>53216.239999999976</v>
      </c>
      <c r="BQ18" s="42">
        <f t="shared" si="83"/>
        <v>79462.499999999971</v>
      </c>
      <c r="BR18" s="42">
        <f t="shared" si="84"/>
        <v>31540.499999999985</v>
      </c>
      <c r="BS18" s="42">
        <f t="shared" si="85"/>
        <v>54166.52999999997</v>
      </c>
      <c r="BT18" s="47">
        <f t="shared" si="86"/>
        <v>80684.999999999971</v>
      </c>
      <c r="BU18" s="51">
        <f t="shared" si="105"/>
        <v>6839.9999999999991</v>
      </c>
      <c r="BV18" s="3">
        <f t="shared" si="106"/>
        <v>7649.9999999999991</v>
      </c>
      <c r="BW18" s="3">
        <f t="shared" si="107"/>
        <v>9000</v>
      </c>
      <c r="BX18" s="51">
        <f t="shared" si="108"/>
        <v>6989.9999999999991</v>
      </c>
      <c r="BY18" s="3">
        <f t="shared" si="109"/>
        <v>7799.9999999999991</v>
      </c>
      <c r="BZ18" s="3">
        <f t="shared" si="110"/>
        <v>9150</v>
      </c>
      <c r="CA18" s="51">
        <f t="shared" si="111"/>
        <v>7139.9999999999982</v>
      </c>
      <c r="CB18" s="3">
        <f t="shared" si="112"/>
        <v>7949.9999999999982</v>
      </c>
      <c r="CC18" s="3">
        <f t="shared" si="113"/>
        <v>9299.9999999999982</v>
      </c>
      <c r="CD18" s="51">
        <f t="shared" si="114"/>
        <v>7289.9999999999982</v>
      </c>
      <c r="CE18" s="3">
        <f t="shared" si="115"/>
        <v>8099.9999999999982</v>
      </c>
      <c r="CF18" s="3">
        <f t="shared" si="116"/>
        <v>9449.9999999999982</v>
      </c>
      <c r="CG18" s="51">
        <f t="shared" si="117"/>
        <v>7439.9999999999973</v>
      </c>
      <c r="CH18" s="3">
        <f t="shared" si="118"/>
        <v>8249.9999999999982</v>
      </c>
      <c r="CI18" s="3">
        <f t="shared" si="119"/>
        <v>9599.9999999999982</v>
      </c>
      <c r="CJ18" s="51">
        <f t="shared" si="120"/>
        <v>7589.9999999999964</v>
      </c>
      <c r="CK18" s="3">
        <f t="shared" si="121"/>
        <v>8399.9999999999964</v>
      </c>
      <c r="CL18" s="3">
        <f t="shared" si="122"/>
        <v>9749.9999999999982</v>
      </c>
      <c r="CM18" s="51">
        <f t="shared" si="123"/>
        <v>7739.9999999999964</v>
      </c>
      <c r="CN18" s="3">
        <f t="shared" si="124"/>
        <v>8549.9999999999964</v>
      </c>
      <c r="CO18" s="3">
        <f t="shared" si="125"/>
        <v>9899.9999999999964</v>
      </c>
      <c r="CP18" s="34">
        <v>5.25</v>
      </c>
      <c r="CQ18" s="60">
        <v>173250</v>
      </c>
      <c r="CR18" s="51">
        <f t="shared" si="6"/>
        <v>6238.8899999999994</v>
      </c>
      <c r="CS18" s="3">
        <f t="shared" si="7"/>
        <v>6880.9436999999989</v>
      </c>
      <c r="CT18" s="3">
        <f t="shared" si="8"/>
        <v>7668</v>
      </c>
      <c r="CU18" s="51">
        <f t="shared" si="9"/>
        <v>6261.7275</v>
      </c>
      <c r="CV18" s="51">
        <f t="shared" si="10"/>
        <v>6913.9523999999992</v>
      </c>
      <c r="CW18" s="3">
        <f t="shared" si="11"/>
        <v>7709.1749999999993</v>
      </c>
      <c r="CX18" s="51">
        <f t="shared" si="12"/>
        <v>6284.5649999999996</v>
      </c>
      <c r="CY18" s="3">
        <f t="shared" si="13"/>
        <v>6946.9610999999995</v>
      </c>
      <c r="CZ18" s="3">
        <f t="shared" si="14"/>
        <v>7750.3499999999995</v>
      </c>
      <c r="DA18" s="51">
        <f t="shared" si="15"/>
        <v>6307.4025000000001</v>
      </c>
      <c r="DB18" s="3">
        <f t="shared" si="16"/>
        <v>6979.9697999999989</v>
      </c>
      <c r="DC18" s="3">
        <f t="shared" si="17"/>
        <v>7791.5249999999996</v>
      </c>
      <c r="DD18" s="51">
        <f t="shared" si="18"/>
        <v>6330.24</v>
      </c>
      <c r="DE18" s="3">
        <f t="shared" si="19"/>
        <v>7012.9784999999993</v>
      </c>
      <c r="DF18" s="3">
        <f t="shared" si="20"/>
        <v>7832.6999999999989</v>
      </c>
      <c r="DG18" s="51">
        <f t="shared" si="21"/>
        <v>6353.0774999999994</v>
      </c>
      <c r="DH18" s="3">
        <f t="shared" si="22"/>
        <v>7045.9871999999996</v>
      </c>
      <c r="DI18" s="3">
        <f t="shared" si="23"/>
        <v>7873.875</v>
      </c>
      <c r="DJ18" s="51">
        <f t="shared" si="24"/>
        <v>6375.915</v>
      </c>
      <c r="DK18" s="3">
        <f t="shared" si="25"/>
        <v>7078.995899999999</v>
      </c>
      <c r="DL18" s="3">
        <f t="shared" si="26"/>
        <v>7915.0499999999993</v>
      </c>
      <c r="DM18" s="51">
        <f t="shared" si="27"/>
        <v>214201.89</v>
      </c>
      <c r="DN18" s="3">
        <f t="shared" si="28"/>
        <v>236245.73369999998</v>
      </c>
      <c r="DO18" s="3">
        <f t="shared" si="29"/>
        <v>263268</v>
      </c>
      <c r="DP18" s="51">
        <f t="shared" si="30"/>
        <v>214985.97750000001</v>
      </c>
      <c r="DQ18" s="51">
        <f t="shared" si="31"/>
        <v>237379.0324</v>
      </c>
      <c r="DR18" s="3">
        <f t="shared" si="32"/>
        <v>264681.67499999999</v>
      </c>
      <c r="DS18" s="51">
        <f t="shared" si="33"/>
        <v>215770.065</v>
      </c>
      <c r="DT18" s="3">
        <f t="shared" si="34"/>
        <v>238512.33109999998</v>
      </c>
      <c r="DU18" s="3">
        <f t="shared" si="35"/>
        <v>266095.34999999998</v>
      </c>
      <c r="DV18" s="51">
        <f t="shared" si="36"/>
        <v>216554.1525</v>
      </c>
      <c r="DW18" s="3">
        <f t="shared" si="37"/>
        <v>239645.62979999997</v>
      </c>
      <c r="DX18" s="3">
        <f t="shared" si="38"/>
        <v>267509.02500000002</v>
      </c>
      <c r="DY18" s="51">
        <f t="shared" si="39"/>
        <v>217338.23999999999</v>
      </c>
      <c r="DZ18" s="3">
        <f t="shared" si="40"/>
        <v>240778.92849999998</v>
      </c>
      <c r="EA18" s="3">
        <f t="shared" si="41"/>
        <v>268922.69999999995</v>
      </c>
      <c r="EB18" s="51">
        <f t="shared" si="42"/>
        <v>218122.32750000001</v>
      </c>
      <c r="EC18" s="3">
        <f t="shared" si="43"/>
        <v>241912.22719999999</v>
      </c>
      <c r="ED18" s="3">
        <f t="shared" si="44"/>
        <v>270336.375</v>
      </c>
      <c r="EE18" s="51">
        <f t="shared" si="45"/>
        <v>218906.41500000001</v>
      </c>
      <c r="EF18" s="3">
        <f t="shared" si="46"/>
        <v>243045.52589999998</v>
      </c>
      <c r="EG18" s="3">
        <f t="shared" si="47"/>
        <v>271750.05</v>
      </c>
    </row>
    <row r="19" spans="1:137" ht="18.75" x14ac:dyDescent="0.25">
      <c r="A19" s="4" t="s">
        <v>232</v>
      </c>
      <c r="B19" s="2" t="s">
        <v>231</v>
      </c>
      <c r="C19" s="4">
        <f>I1</f>
        <v>16300</v>
      </c>
      <c r="D19" s="4">
        <v>0.186</v>
      </c>
      <c r="E19" s="4">
        <v>0.191</v>
      </c>
      <c r="F19" s="4">
        <v>0.19800000000000001</v>
      </c>
      <c r="G19" s="4">
        <v>3.7999999999999999E-2</v>
      </c>
      <c r="H19" s="4">
        <v>4.2999999999999997E-2</v>
      </c>
      <c r="I19" s="89">
        <v>0.05</v>
      </c>
      <c r="J19" s="93"/>
      <c r="K19" s="27"/>
      <c r="L19" s="94"/>
      <c r="M19" s="93"/>
      <c r="N19" s="27"/>
      <c r="O19" s="94"/>
      <c r="P19" s="93"/>
      <c r="Q19" s="27"/>
      <c r="R19" s="94"/>
      <c r="S19" s="93"/>
      <c r="T19" s="27"/>
      <c r="U19" s="94"/>
      <c r="V19" s="93"/>
      <c r="W19" s="27"/>
      <c r="X19" s="94"/>
      <c r="Y19" s="93"/>
      <c r="Z19" s="27"/>
      <c r="AA19" s="94"/>
      <c r="AB19" s="93"/>
      <c r="AC19" s="27"/>
      <c r="AD19" s="94"/>
      <c r="AE19" s="45"/>
      <c r="AF19" s="45"/>
      <c r="AG19" s="45"/>
      <c r="AH19" s="45"/>
      <c r="AI19" s="45"/>
      <c r="AJ19" s="45"/>
      <c r="AK19" s="45"/>
      <c r="AL19" s="45"/>
      <c r="AM19" s="45"/>
      <c r="AN19" s="45"/>
      <c r="AO19" s="45"/>
      <c r="AP19" s="45"/>
      <c r="AQ19" s="45"/>
      <c r="AR19" s="45"/>
      <c r="AS19" s="45"/>
      <c r="AT19" s="45"/>
      <c r="AU19" s="45"/>
      <c r="AV19" s="45"/>
      <c r="AW19" s="45"/>
      <c r="AX19" s="45"/>
      <c r="AY19" s="46"/>
      <c r="AZ19" s="44"/>
      <c r="BA19" s="45"/>
      <c r="BB19" s="45"/>
      <c r="BC19" s="45"/>
      <c r="BD19" s="45"/>
      <c r="BE19" s="45"/>
      <c r="BF19" s="45"/>
      <c r="BG19" s="45"/>
      <c r="BH19" s="45"/>
      <c r="BI19" s="45"/>
      <c r="BJ19" s="45"/>
      <c r="BK19" s="45"/>
      <c r="BL19" s="45"/>
      <c r="BM19" s="45"/>
      <c r="BN19" s="45"/>
      <c r="BO19" s="45"/>
      <c r="BP19" s="45"/>
      <c r="BQ19" s="45"/>
      <c r="BR19" s="45"/>
      <c r="BS19" s="45"/>
      <c r="BT19" s="46"/>
      <c r="BU19" s="44"/>
      <c r="BV19" s="45"/>
      <c r="BW19" s="45"/>
      <c r="BX19" s="45"/>
      <c r="BY19" s="45"/>
      <c r="BZ19" s="45"/>
      <c r="CA19" s="45"/>
      <c r="CB19" s="45"/>
      <c r="CC19" s="45"/>
      <c r="CD19" s="45"/>
      <c r="CE19" s="45"/>
      <c r="CF19" s="45"/>
      <c r="CG19" s="45"/>
      <c r="CH19" s="45"/>
      <c r="CI19" s="45"/>
      <c r="CJ19" s="45"/>
      <c r="CK19" s="45"/>
      <c r="CL19" s="45"/>
      <c r="CM19" s="45"/>
      <c r="CN19" s="45"/>
      <c r="CO19" s="46"/>
      <c r="CP19" s="34"/>
      <c r="CQ19" s="62"/>
      <c r="CR19" s="44"/>
      <c r="CS19" s="45"/>
      <c r="CT19" s="45"/>
      <c r="CU19" s="45"/>
      <c r="CV19" s="45"/>
      <c r="CW19" s="45"/>
      <c r="CX19" s="45"/>
      <c r="CY19" s="45"/>
      <c r="CZ19" s="45"/>
      <c r="DA19" s="45"/>
      <c r="DB19" s="45"/>
      <c r="DC19" s="45"/>
      <c r="DD19" s="45"/>
      <c r="DE19" s="45"/>
      <c r="DF19" s="45"/>
      <c r="DG19" s="45"/>
      <c r="DH19" s="45"/>
      <c r="DI19" s="45"/>
      <c r="DJ19" s="45"/>
      <c r="DK19" s="45"/>
      <c r="DL19" s="46"/>
      <c r="DM19" s="44"/>
      <c r="DN19" s="45"/>
      <c r="DO19" s="45"/>
      <c r="DP19" s="45"/>
      <c r="DQ19" s="45"/>
      <c r="DR19" s="45"/>
      <c r="DS19" s="45"/>
      <c r="DT19" s="45"/>
      <c r="DU19" s="45"/>
      <c r="DV19" s="45"/>
      <c r="DW19" s="45"/>
      <c r="DX19" s="45"/>
      <c r="DY19" s="45"/>
      <c r="DZ19" s="45"/>
      <c r="EA19" s="45"/>
      <c r="EB19" s="45"/>
      <c r="EC19" s="45"/>
      <c r="ED19" s="45"/>
      <c r="EE19" s="45"/>
      <c r="EF19" s="45"/>
      <c r="EG19" s="46"/>
    </row>
    <row r="20" spans="1:137" ht="18.75" x14ac:dyDescent="0.25">
      <c r="A20" s="4" t="s">
        <v>232</v>
      </c>
      <c r="B20" s="2" t="s">
        <v>233</v>
      </c>
      <c r="C20" s="4">
        <f>I1</f>
        <v>16300</v>
      </c>
      <c r="D20" s="4">
        <v>1.298</v>
      </c>
      <c r="E20" s="4">
        <v>1.4379999999999999</v>
      </c>
      <c r="F20" s="4">
        <v>1.67</v>
      </c>
      <c r="G20" s="4">
        <v>1.1779999999999999</v>
      </c>
      <c r="H20" s="4">
        <v>1.3180000000000001</v>
      </c>
      <c r="I20" s="89">
        <v>1.55</v>
      </c>
      <c r="J20" s="93"/>
      <c r="K20" s="27"/>
      <c r="L20" s="94"/>
      <c r="M20" s="93"/>
      <c r="N20" s="27"/>
      <c r="O20" s="94"/>
      <c r="P20" s="93"/>
      <c r="Q20" s="27"/>
      <c r="R20" s="94"/>
      <c r="S20" s="93"/>
      <c r="T20" s="27"/>
      <c r="U20" s="94"/>
      <c r="V20" s="93"/>
      <c r="W20" s="27"/>
      <c r="X20" s="94"/>
      <c r="Y20" s="93"/>
      <c r="Z20" s="27"/>
      <c r="AA20" s="94"/>
      <c r="AB20" s="93"/>
      <c r="AC20" s="27"/>
      <c r="AD20" s="94"/>
      <c r="AE20" s="45"/>
      <c r="AF20" s="45"/>
      <c r="AG20" s="45"/>
      <c r="AH20" s="45"/>
      <c r="AI20" s="45"/>
      <c r="AJ20" s="45"/>
      <c r="AK20" s="45"/>
      <c r="AL20" s="45"/>
      <c r="AM20" s="45"/>
      <c r="AN20" s="45"/>
      <c r="AO20" s="45"/>
      <c r="AP20" s="45"/>
      <c r="AQ20" s="45"/>
      <c r="AR20" s="45"/>
      <c r="AS20" s="45"/>
      <c r="AT20" s="45"/>
      <c r="AU20" s="45"/>
      <c r="AV20" s="45"/>
      <c r="AW20" s="45"/>
      <c r="AX20" s="45"/>
      <c r="AY20" s="46"/>
      <c r="AZ20" s="44"/>
      <c r="BA20" s="45"/>
      <c r="BB20" s="45"/>
      <c r="BC20" s="45"/>
      <c r="BD20" s="45"/>
      <c r="BE20" s="45"/>
      <c r="BF20" s="45"/>
      <c r="BG20" s="45"/>
      <c r="BH20" s="45"/>
      <c r="BI20" s="45"/>
      <c r="BJ20" s="45"/>
      <c r="BK20" s="45"/>
      <c r="BL20" s="45"/>
      <c r="BM20" s="45"/>
      <c r="BN20" s="45"/>
      <c r="BO20" s="45"/>
      <c r="BP20" s="45"/>
      <c r="BQ20" s="45"/>
      <c r="BR20" s="45"/>
      <c r="BS20" s="45"/>
      <c r="BT20" s="46"/>
      <c r="BU20" s="44"/>
      <c r="BV20" s="45"/>
      <c r="BW20" s="45"/>
      <c r="BX20" s="45"/>
      <c r="BY20" s="45"/>
      <c r="BZ20" s="45"/>
      <c r="CA20" s="45"/>
      <c r="CB20" s="45"/>
      <c r="CC20" s="45"/>
      <c r="CD20" s="45"/>
      <c r="CE20" s="45"/>
      <c r="CF20" s="45"/>
      <c r="CG20" s="45"/>
      <c r="CH20" s="45"/>
      <c r="CI20" s="45"/>
      <c r="CJ20" s="45"/>
      <c r="CK20" s="45"/>
      <c r="CL20" s="45"/>
      <c r="CM20" s="45"/>
      <c r="CN20" s="45"/>
      <c r="CO20" s="46"/>
      <c r="CP20" s="34"/>
      <c r="CQ20" s="62"/>
      <c r="CR20" s="44"/>
      <c r="CS20" s="45"/>
      <c r="CT20" s="45"/>
      <c r="CU20" s="45"/>
      <c r="CV20" s="45"/>
      <c r="CW20" s="45"/>
      <c r="CX20" s="45"/>
      <c r="CY20" s="45"/>
      <c r="CZ20" s="45"/>
      <c r="DA20" s="45"/>
      <c r="DB20" s="45"/>
      <c r="DC20" s="45"/>
      <c r="DD20" s="45"/>
      <c r="DE20" s="45"/>
      <c r="DF20" s="45"/>
      <c r="DG20" s="45"/>
      <c r="DH20" s="45"/>
      <c r="DI20" s="45"/>
      <c r="DJ20" s="45"/>
      <c r="DK20" s="45"/>
      <c r="DL20" s="46"/>
      <c r="DM20" s="44"/>
      <c r="DN20" s="45"/>
      <c r="DO20" s="45"/>
      <c r="DP20" s="45"/>
      <c r="DQ20" s="45"/>
      <c r="DR20" s="45"/>
      <c r="DS20" s="45"/>
      <c r="DT20" s="45"/>
      <c r="DU20" s="45"/>
      <c r="DV20" s="45"/>
      <c r="DW20" s="45"/>
      <c r="DX20" s="45"/>
      <c r="DY20" s="45"/>
      <c r="DZ20" s="45"/>
      <c r="EA20" s="45"/>
      <c r="EB20" s="45"/>
      <c r="EC20" s="45"/>
      <c r="ED20" s="45"/>
      <c r="EE20" s="45"/>
      <c r="EF20" s="45"/>
      <c r="EG20" s="46"/>
    </row>
    <row r="21" spans="1:137" ht="18.75" x14ac:dyDescent="0.25">
      <c r="A21" s="4" t="s">
        <v>232</v>
      </c>
      <c r="B21" s="2" t="s">
        <v>234</v>
      </c>
      <c r="C21" s="4">
        <f>I1</f>
        <v>16300</v>
      </c>
      <c r="D21" s="4">
        <v>0.64800000000000002</v>
      </c>
      <c r="E21" s="4">
        <v>0.72</v>
      </c>
      <c r="F21" s="4">
        <v>0.84</v>
      </c>
      <c r="G21" s="4">
        <v>0.60799999999999998</v>
      </c>
      <c r="H21" s="4">
        <v>0.68</v>
      </c>
      <c r="I21" s="89">
        <v>0.8</v>
      </c>
      <c r="J21" s="93"/>
      <c r="K21" s="27"/>
      <c r="L21" s="94"/>
      <c r="M21" s="93"/>
      <c r="N21" s="27"/>
      <c r="O21" s="94"/>
      <c r="P21" s="93"/>
      <c r="Q21" s="27"/>
      <c r="R21" s="94"/>
      <c r="S21" s="93"/>
      <c r="T21" s="27"/>
      <c r="U21" s="94"/>
      <c r="V21" s="93"/>
      <c r="W21" s="27"/>
      <c r="X21" s="94"/>
      <c r="Y21" s="93"/>
      <c r="Z21" s="27"/>
      <c r="AA21" s="94"/>
      <c r="AB21" s="93"/>
      <c r="AC21" s="27"/>
      <c r="AD21" s="94"/>
      <c r="AE21" s="45"/>
      <c r="AF21" s="45"/>
      <c r="AG21" s="45"/>
      <c r="AH21" s="45"/>
      <c r="AI21" s="45"/>
      <c r="AJ21" s="45"/>
      <c r="AK21" s="45"/>
      <c r="AL21" s="45"/>
      <c r="AM21" s="45"/>
      <c r="AN21" s="45"/>
      <c r="AO21" s="45"/>
      <c r="AP21" s="45"/>
      <c r="AQ21" s="45"/>
      <c r="AR21" s="45"/>
      <c r="AS21" s="45"/>
      <c r="AT21" s="45"/>
      <c r="AU21" s="45"/>
      <c r="AV21" s="45"/>
      <c r="AW21" s="45"/>
      <c r="AX21" s="45"/>
      <c r="AY21" s="46"/>
      <c r="AZ21" s="44"/>
      <c r="BA21" s="45"/>
      <c r="BB21" s="45"/>
      <c r="BC21" s="45"/>
      <c r="BD21" s="45"/>
      <c r="BE21" s="45"/>
      <c r="BF21" s="45"/>
      <c r="BG21" s="45"/>
      <c r="BH21" s="45"/>
      <c r="BI21" s="45"/>
      <c r="BJ21" s="45"/>
      <c r="BK21" s="45"/>
      <c r="BL21" s="45"/>
      <c r="BM21" s="45"/>
      <c r="BN21" s="45"/>
      <c r="BO21" s="45"/>
      <c r="BP21" s="45"/>
      <c r="BQ21" s="45"/>
      <c r="BR21" s="45"/>
      <c r="BS21" s="45"/>
      <c r="BT21" s="46"/>
      <c r="BU21" s="44"/>
      <c r="BV21" s="45"/>
      <c r="BW21" s="45"/>
      <c r="BX21" s="45"/>
      <c r="BY21" s="45"/>
      <c r="BZ21" s="45"/>
      <c r="CA21" s="45"/>
      <c r="CB21" s="45"/>
      <c r="CC21" s="45"/>
      <c r="CD21" s="45"/>
      <c r="CE21" s="45"/>
      <c r="CF21" s="45"/>
      <c r="CG21" s="45"/>
      <c r="CH21" s="45"/>
      <c r="CI21" s="45"/>
      <c r="CJ21" s="45"/>
      <c r="CK21" s="45"/>
      <c r="CL21" s="45"/>
      <c r="CM21" s="45"/>
      <c r="CN21" s="45"/>
      <c r="CO21" s="46"/>
      <c r="CP21" s="34"/>
      <c r="CQ21" s="62"/>
      <c r="CR21" s="44"/>
      <c r="CS21" s="45"/>
      <c r="CT21" s="45"/>
      <c r="CU21" s="45"/>
      <c r="CV21" s="45"/>
      <c r="CW21" s="45"/>
      <c r="CX21" s="45"/>
      <c r="CY21" s="45"/>
      <c r="CZ21" s="45"/>
      <c r="DA21" s="45"/>
      <c r="DB21" s="45"/>
      <c r="DC21" s="45"/>
      <c r="DD21" s="45"/>
      <c r="DE21" s="45"/>
      <c r="DF21" s="45"/>
      <c r="DG21" s="45"/>
      <c r="DH21" s="45"/>
      <c r="DI21" s="45"/>
      <c r="DJ21" s="45"/>
      <c r="DK21" s="45"/>
      <c r="DL21" s="46"/>
      <c r="DM21" s="44"/>
      <c r="DN21" s="45"/>
      <c r="DO21" s="45"/>
      <c r="DP21" s="45"/>
      <c r="DQ21" s="45"/>
      <c r="DR21" s="45"/>
      <c r="DS21" s="45"/>
      <c r="DT21" s="45"/>
      <c r="DU21" s="45"/>
      <c r="DV21" s="45"/>
      <c r="DW21" s="45"/>
      <c r="DX21" s="45"/>
      <c r="DY21" s="45"/>
      <c r="DZ21" s="45"/>
      <c r="EA21" s="45"/>
      <c r="EB21" s="45"/>
      <c r="EC21" s="45"/>
      <c r="ED21" s="45"/>
      <c r="EE21" s="45"/>
      <c r="EF21" s="45"/>
      <c r="EG21" s="46"/>
    </row>
    <row r="22" spans="1:137" ht="18.75" x14ac:dyDescent="0.25">
      <c r="A22" s="4" t="s">
        <v>232</v>
      </c>
      <c r="B22" s="2" t="s">
        <v>235</v>
      </c>
      <c r="C22" s="4">
        <f>I1</f>
        <v>16300</v>
      </c>
      <c r="D22" s="4">
        <v>0.36599999999999999</v>
      </c>
      <c r="E22" s="4">
        <v>0.40200000000000002</v>
      </c>
      <c r="F22" s="4">
        <v>0.46200000000000002</v>
      </c>
      <c r="G22" s="4">
        <v>0.30399999999999999</v>
      </c>
      <c r="H22" s="4">
        <v>0.34</v>
      </c>
      <c r="I22" s="89">
        <v>0.4</v>
      </c>
      <c r="J22" s="93"/>
      <c r="K22" s="27"/>
      <c r="L22" s="94"/>
      <c r="M22" s="93"/>
      <c r="N22" s="27"/>
      <c r="O22" s="94"/>
      <c r="P22" s="93"/>
      <c r="Q22" s="27"/>
      <c r="R22" s="94"/>
      <c r="S22" s="93"/>
      <c r="T22" s="27"/>
      <c r="U22" s="94"/>
      <c r="V22" s="93"/>
      <c r="W22" s="27"/>
      <c r="X22" s="94"/>
      <c r="Y22" s="93"/>
      <c r="Z22" s="27"/>
      <c r="AA22" s="94"/>
      <c r="AB22" s="93"/>
      <c r="AC22" s="27"/>
      <c r="AD22" s="94"/>
      <c r="AE22" s="45"/>
      <c r="AF22" s="45"/>
      <c r="AG22" s="45"/>
      <c r="AH22" s="45"/>
      <c r="AI22" s="45"/>
      <c r="AJ22" s="45"/>
      <c r="AK22" s="45"/>
      <c r="AL22" s="45"/>
      <c r="AM22" s="45"/>
      <c r="AN22" s="45"/>
      <c r="AO22" s="45"/>
      <c r="AP22" s="45"/>
      <c r="AQ22" s="45"/>
      <c r="AR22" s="45"/>
      <c r="AS22" s="45"/>
      <c r="AT22" s="45"/>
      <c r="AU22" s="45"/>
      <c r="AV22" s="45"/>
      <c r="AW22" s="45"/>
      <c r="AX22" s="45"/>
      <c r="AY22" s="46"/>
      <c r="AZ22" s="44"/>
      <c r="BA22" s="45"/>
      <c r="BB22" s="45"/>
      <c r="BC22" s="45"/>
      <c r="BD22" s="45"/>
      <c r="BE22" s="45"/>
      <c r="BF22" s="45"/>
      <c r="BG22" s="45"/>
      <c r="BH22" s="45"/>
      <c r="BI22" s="45"/>
      <c r="BJ22" s="45"/>
      <c r="BK22" s="45"/>
      <c r="BL22" s="45"/>
      <c r="BM22" s="45"/>
      <c r="BN22" s="45"/>
      <c r="BO22" s="45"/>
      <c r="BP22" s="45"/>
      <c r="BQ22" s="45"/>
      <c r="BR22" s="45"/>
      <c r="BS22" s="45"/>
      <c r="BT22" s="46"/>
      <c r="BU22" s="44"/>
      <c r="BV22" s="45"/>
      <c r="BW22" s="45"/>
      <c r="BX22" s="45"/>
      <c r="BY22" s="45"/>
      <c r="BZ22" s="45"/>
      <c r="CA22" s="45"/>
      <c r="CB22" s="45"/>
      <c r="CC22" s="45"/>
      <c r="CD22" s="45"/>
      <c r="CE22" s="45"/>
      <c r="CF22" s="45"/>
      <c r="CG22" s="45"/>
      <c r="CH22" s="45"/>
      <c r="CI22" s="45"/>
      <c r="CJ22" s="45"/>
      <c r="CK22" s="45"/>
      <c r="CL22" s="45"/>
      <c r="CM22" s="45"/>
      <c r="CN22" s="45"/>
      <c r="CO22" s="46"/>
      <c r="CP22" s="34"/>
      <c r="CQ22" s="62"/>
      <c r="CR22" s="44"/>
      <c r="CS22" s="45"/>
      <c r="CT22" s="45"/>
      <c r="CU22" s="45"/>
      <c r="CV22" s="45"/>
      <c r="CW22" s="45"/>
      <c r="CX22" s="45"/>
      <c r="CY22" s="45"/>
      <c r="CZ22" s="45"/>
      <c r="DA22" s="45"/>
      <c r="DB22" s="45"/>
      <c r="DC22" s="45"/>
      <c r="DD22" s="45"/>
      <c r="DE22" s="45"/>
      <c r="DF22" s="45"/>
      <c r="DG22" s="45"/>
      <c r="DH22" s="45"/>
      <c r="DI22" s="45"/>
      <c r="DJ22" s="45"/>
      <c r="DK22" s="45"/>
      <c r="DL22" s="46"/>
      <c r="DM22" s="44"/>
      <c r="DN22" s="45"/>
      <c r="DO22" s="45"/>
      <c r="DP22" s="45"/>
      <c r="DQ22" s="45"/>
      <c r="DR22" s="45"/>
      <c r="DS22" s="45"/>
      <c r="DT22" s="45"/>
      <c r="DU22" s="45"/>
      <c r="DV22" s="45"/>
      <c r="DW22" s="45"/>
      <c r="DX22" s="45"/>
      <c r="DY22" s="45"/>
      <c r="DZ22" s="45"/>
      <c r="EA22" s="45"/>
      <c r="EB22" s="45"/>
      <c r="EC22" s="45"/>
      <c r="ED22" s="45"/>
      <c r="EE22" s="45"/>
      <c r="EF22" s="45"/>
      <c r="EG22" s="46"/>
    </row>
    <row r="23" spans="1:137" ht="18.75" x14ac:dyDescent="0.25">
      <c r="A23" s="4" t="s">
        <v>232</v>
      </c>
      <c r="B23" s="2" t="s">
        <v>237</v>
      </c>
      <c r="C23" s="4">
        <f>I1</f>
        <v>16300</v>
      </c>
      <c r="D23" s="4">
        <v>1.036</v>
      </c>
      <c r="E23" s="4">
        <v>1.135</v>
      </c>
      <c r="F23" s="4">
        <v>1.3</v>
      </c>
      <c r="G23" s="4">
        <v>0.83599999999999997</v>
      </c>
      <c r="H23" s="4">
        <v>0.93500000000000005</v>
      </c>
      <c r="I23" s="89">
        <v>1.1000000000000001</v>
      </c>
      <c r="J23" s="93"/>
      <c r="K23" s="27"/>
      <c r="L23" s="94"/>
      <c r="M23" s="93"/>
      <c r="N23" s="27"/>
      <c r="O23" s="94"/>
      <c r="P23" s="93"/>
      <c r="Q23" s="27"/>
      <c r="R23" s="94"/>
      <c r="S23" s="93"/>
      <c r="T23" s="27"/>
      <c r="U23" s="94"/>
      <c r="V23" s="93"/>
      <c r="W23" s="27"/>
      <c r="X23" s="94"/>
      <c r="Y23" s="93"/>
      <c r="Z23" s="27"/>
      <c r="AA23" s="94"/>
      <c r="AB23" s="93"/>
      <c r="AC23" s="27"/>
      <c r="AD23" s="94"/>
      <c r="AE23" s="45"/>
      <c r="AF23" s="45"/>
      <c r="AG23" s="45"/>
      <c r="AH23" s="45"/>
      <c r="AI23" s="45"/>
      <c r="AJ23" s="45"/>
      <c r="AK23" s="45"/>
      <c r="AL23" s="45"/>
      <c r="AM23" s="45"/>
      <c r="AN23" s="45"/>
      <c r="AO23" s="45"/>
      <c r="AP23" s="45"/>
      <c r="AQ23" s="45"/>
      <c r="AR23" s="45"/>
      <c r="AS23" s="45"/>
      <c r="AT23" s="45"/>
      <c r="AU23" s="45"/>
      <c r="AV23" s="45"/>
      <c r="AW23" s="45"/>
      <c r="AX23" s="45"/>
      <c r="AY23" s="46"/>
      <c r="AZ23" s="44"/>
      <c r="BA23" s="45"/>
      <c r="BB23" s="45"/>
      <c r="BC23" s="45"/>
      <c r="BD23" s="45"/>
      <c r="BE23" s="45"/>
      <c r="BF23" s="45"/>
      <c r="BG23" s="45"/>
      <c r="BH23" s="45"/>
      <c r="BI23" s="45"/>
      <c r="BJ23" s="45"/>
      <c r="BK23" s="45"/>
      <c r="BL23" s="45"/>
      <c r="BM23" s="45"/>
      <c r="BN23" s="45"/>
      <c r="BO23" s="45"/>
      <c r="BP23" s="45"/>
      <c r="BQ23" s="45"/>
      <c r="BR23" s="45"/>
      <c r="BS23" s="45"/>
      <c r="BT23" s="46"/>
      <c r="BU23" s="44"/>
      <c r="BV23" s="45"/>
      <c r="BW23" s="45"/>
      <c r="BX23" s="45"/>
      <c r="BY23" s="45"/>
      <c r="BZ23" s="45"/>
      <c r="CA23" s="45"/>
      <c r="CB23" s="45"/>
      <c r="CC23" s="45"/>
      <c r="CD23" s="45"/>
      <c r="CE23" s="45"/>
      <c r="CF23" s="45"/>
      <c r="CG23" s="45"/>
      <c r="CH23" s="45"/>
      <c r="CI23" s="45"/>
      <c r="CJ23" s="45"/>
      <c r="CK23" s="45"/>
      <c r="CL23" s="45"/>
      <c r="CM23" s="45"/>
      <c r="CN23" s="45"/>
      <c r="CO23" s="46"/>
      <c r="CP23" s="34"/>
      <c r="CQ23" s="62"/>
      <c r="CR23" s="44"/>
      <c r="CS23" s="45"/>
      <c r="CT23" s="45"/>
      <c r="CU23" s="45"/>
      <c r="CV23" s="45"/>
      <c r="CW23" s="45"/>
      <c r="CX23" s="45"/>
      <c r="CY23" s="45"/>
      <c r="CZ23" s="45"/>
      <c r="DA23" s="45"/>
      <c r="DB23" s="45"/>
      <c r="DC23" s="45"/>
      <c r="DD23" s="45"/>
      <c r="DE23" s="45"/>
      <c r="DF23" s="45"/>
      <c r="DG23" s="45"/>
      <c r="DH23" s="45"/>
      <c r="DI23" s="45"/>
      <c r="DJ23" s="45"/>
      <c r="DK23" s="45"/>
      <c r="DL23" s="46"/>
      <c r="DM23" s="44"/>
      <c r="DN23" s="45"/>
      <c r="DO23" s="45"/>
      <c r="DP23" s="45"/>
      <c r="DQ23" s="45"/>
      <c r="DR23" s="45"/>
      <c r="DS23" s="45"/>
      <c r="DT23" s="45"/>
      <c r="DU23" s="45"/>
      <c r="DV23" s="45"/>
      <c r="DW23" s="45"/>
      <c r="DX23" s="45"/>
      <c r="DY23" s="45"/>
      <c r="DZ23" s="45"/>
      <c r="EA23" s="45"/>
      <c r="EB23" s="45"/>
      <c r="EC23" s="45"/>
      <c r="ED23" s="45"/>
      <c r="EE23" s="45"/>
      <c r="EF23" s="45"/>
      <c r="EG23" s="46"/>
    </row>
    <row r="24" spans="1:137" ht="18.75" x14ac:dyDescent="0.25">
      <c r="A24" s="4" t="s">
        <v>117</v>
      </c>
      <c r="B24" s="4" t="s">
        <v>118</v>
      </c>
      <c r="C24" s="4">
        <f>I1</f>
        <v>16300</v>
      </c>
      <c r="D24" s="4">
        <v>20.774000000000001</v>
      </c>
      <c r="E24" s="4">
        <v>22.603999999999999</v>
      </c>
      <c r="F24" s="4">
        <v>25.654</v>
      </c>
      <c r="G24" s="4">
        <v>15.47</v>
      </c>
      <c r="H24" s="4">
        <v>17.3</v>
      </c>
      <c r="I24" s="89">
        <v>20.350000000000001</v>
      </c>
      <c r="J24" s="93"/>
      <c r="K24" s="27"/>
      <c r="L24" s="94"/>
      <c r="M24" s="93"/>
      <c r="N24" s="27"/>
      <c r="O24" s="94"/>
      <c r="P24" s="93"/>
      <c r="Q24" s="27"/>
      <c r="R24" s="94"/>
      <c r="S24" s="93"/>
      <c r="T24" s="27"/>
      <c r="U24" s="94"/>
      <c r="V24" s="93"/>
      <c r="W24" s="27"/>
      <c r="X24" s="94"/>
      <c r="Y24" s="93"/>
      <c r="Z24" s="27"/>
      <c r="AA24" s="94"/>
      <c r="AB24" s="93"/>
      <c r="AC24" s="27"/>
      <c r="AD24" s="94"/>
      <c r="AE24" s="45"/>
      <c r="AF24" s="45"/>
      <c r="AG24" s="45"/>
      <c r="AH24" s="45"/>
      <c r="AI24" s="45"/>
      <c r="AJ24" s="45"/>
      <c r="AK24" s="45"/>
      <c r="AL24" s="45"/>
      <c r="AM24" s="45"/>
      <c r="AN24" s="45"/>
      <c r="AO24" s="45"/>
      <c r="AP24" s="45"/>
      <c r="AQ24" s="45"/>
      <c r="AR24" s="45"/>
      <c r="AS24" s="45"/>
      <c r="AT24" s="45"/>
      <c r="AU24" s="45"/>
      <c r="AV24" s="45"/>
      <c r="AW24" s="45"/>
      <c r="AX24" s="45"/>
      <c r="AY24" s="46"/>
      <c r="AZ24" s="44"/>
      <c r="BA24" s="45"/>
      <c r="BB24" s="45"/>
      <c r="BC24" s="45"/>
      <c r="BD24" s="45"/>
      <c r="BE24" s="45"/>
      <c r="BF24" s="45"/>
      <c r="BG24" s="45"/>
      <c r="BH24" s="45"/>
      <c r="BI24" s="45"/>
      <c r="BJ24" s="45"/>
      <c r="BK24" s="45"/>
      <c r="BL24" s="45"/>
      <c r="BM24" s="45"/>
      <c r="BN24" s="45"/>
      <c r="BO24" s="45"/>
      <c r="BP24" s="45"/>
      <c r="BQ24" s="45"/>
      <c r="BR24" s="45"/>
      <c r="BS24" s="45"/>
      <c r="BT24" s="46"/>
      <c r="BU24" s="44"/>
      <c r="BV24" s="45"/>
      <c r="BW24" s="45"/>
      <c r="BX24" s="45"/>
      <c r="BY24" s="45"/>
      <c r="BZ24" s="45"/>
      <c r="CA24" s="45"/>
      <c r="CB24" s="45"/>
      <c r="CC24" s="45"/>
      <c r="CD24" s="45"/>
      <c r="CE24" s="45"/>
      <c r="CF24" s="45"/>
      <c r="CG24" s="45"/>
      <c r="CH24" s="45"/>
      <c r="CI24" s="45"/>
      <c r="CJ24" s="45"/>
      <c r="CK24" s="45"/>
      <c r="CL24" s="45"/>
      <c r="CM24" s="45"/>
      <c r="CN24" s="45"/>
      <c r="CO24" s="46"/>
      <c r="CP24" s="34"/>
      <c r="CQ24" s="62"/>
      <c r="CR24" s="44"/>
      <c r="CS24" s="45"/>
      <c r="CT24" s="45"/>
      <c r="CU24" s="45"/>
      <c r="CV24" s="45"/>
      <c r="CW24" s="45"/>
      <c r="CX24" s="45"/>
      <c r="CY24" s="45"/>
      <c r="CZ24" s="45"/>
      <c r="DA24" s="45"/>
      <c r="DB24" s="45"/>
      <c r="DC24" s="45"/>
      <c r="DD24" s="45"/>
      <c r="DE24" s="45"/>
      <c r="DF24" s="45"/>
      <c r="DG24" s="45"/>
      <c r="DH24" s="45"/>
      <c r="DI24" s="45"/>
      <c r="DJ24" s="45"/>
      <c r="DK24" s="45"/>
      <c r="DL24" s="46"/>
      <c r="DM24" s="44"/>
      <c r="DN24" s="45"/>
      <c r="DO24" s="45"/>
      <c r="DP24" s="45"/>
      <c r="DQ24" s="45"/>
      <c r="DR24" s="45"/>
      <c r="DS24" s="45"/>
      <c r="DT24" s="45"/>
      <c r="DU24" s="45"/>
      <c r="DV24" s="45"/>
      <c r="DW24" s="45"/>
      <c r="DX24" s="45"/>
      <c r="DY24" s="45"/>
      <c r="DZ24" s="45"/>
      <c r="EA24" s="45"/>
      <c r="EB24" s="45"/>
      <c r="EC24" s="45"/>
      <c r="ED24" s="45"/>
      <c r="EE24" s="45"/>
      <c r="EF24" s="45"/>
      <c r="EG24" s="46"/>
    </row>
    <row r="25" spans="1:137" ht="18.75" x14ac:dyDescent="0.25">
      <c r="A25" s="4" t="s">
        <v>241</v>
      </c>
      <c r="B25" s="2" t="s">
        <v>121</v>
      </c>
      <c r="C25" s="4">
        <f>I1</f>
        <v>16300</v>
      </c>
      <c r="D25" s="2">
        <v>19.905999999999999</v>
      </c>
      <c r="E25" s="2">
        <v>22.155999999999999</v>
      </c>
      <c r="F25" s="2">
        <v>25.905999999999999</v>
      </c>
      <c r="G25" s="4">
        <v>19</v>
      </c>
      <c r="H25" s="4">
        <v>21.25</v>
      </c>
      <c r="I25" s="89">
        <v>25</v>
      </c>
      <c r="J25" s="93"/>
      <c r="K25" s="27"/>
      <c r="L25" s="94"/>
      <c r="M25" s="93"/>
      <c r="N25" s="27"/>
      <c r="O25" s="94"/>
      <c r="P25" s="93"/>
      <c r="Q25" s="27"/>
      <c r="R25" s="94"/>
      <c r="S25" s="93"/>
      <c r="T25" s="27"/>
      <c r="U25" s="94"/>
      <c r="V25" s="93"/>
      <c r="W25" s="27"/>
      <c r="X25" s="94"/>
      <c r="Y25" s="93"/>
      <c r="Z25" s="27"/>
      <c r="AA25" s="94"/>
      <c r="AB25" s="93"/>
      <c r="AC25" s="27"/>
      <c r="AD25" s="94"/>
      <c r="AE25" s="45"/>
      <c r="AF25" s="45"/>
      <c r="AG25" s="45"/>
      <c r="AH25" s="45"/>
      <c r="AI25" s="45"/>
      <c r="AJ25" s="45"/>
      <c r="AK25" s="45"/>
      <c r="AL25" s="45"/>
      <c r="AM25" s="45"/>
      <c r="AN25" s="45"/>
      <c r="AO25" s="45"/>
      <c r="AP25" s="45"/>
      <c r="AQ25" s="45"/>
      <c r="AR25" s="45"/>
      <c r="AS25" s="45"/>
      <c r="AT25" s="45"/>
      <c r="AU25" s="45"/>
      <c r="AV25" s="45"/>
      <c r="AW25" s="45"/>
      <c r="AX25" s="45"/>
      <c r="AY25" s="46"/>
      <c r="AZ25" s="44"/>
      <c r="BA25" s="45"/>
      <c r="BB25" s="45"/>
      <c r="BC25" s="45"/>
      <c r="BD25" s="45"/>
      <c r="BE25" s="45"/>
      <c r="BF25" s="45"/>
      <c r="BG25" s="45"/>
      <c r="BH25" s="45"/>
      <c r="BI25" s="45"/>
      <c r="BJ25" s="45"/>
      <c r="BK25" s="45"/>
      <c r="BL25" s="45"/>
      <c r="BM25" s="45"/>
      <c r="BN25" s="45"/>
      <c r="BO25" s="45"/>
      <c r="BP25" s="45"/>
      <c r="BQ25" s="45"/>
      <c r="BR25" s="45"/>
      <c r="BS25" s="45"/>
      <c r="BT25" s="46"/>
      <c r="BU25" s="44"/>
      <c r="BV25" s="45"/>
      <c r="BW25" s="45"/>
      <c r="BX25" s="45"/>
      <c r="BY25" s="45"/>
      <c r="BZ25" s="45"/>
      <c r="CA25" s="45"/>
      <c r="CB25" s="45"/>
      <c r="CC25" s="45"/>
      <c r="CD25" s="45"/>
      <c r="CE25" s="45"/>
      <c r="CF25" s="45"/>
      <c r="CG25" s="45"/>
      <c r="CH25" s="45"/>
      <c r="CI25" s="45"/>
      <c r="CJ25" s="45"/>
      <c r="CK25" s="45"/>
      <c r="CL25" s="45"/>
      <c r="CM25" s="45"/>
      <c r="CN25" s="45"/>
      <c r="CO25" s="46"/>
      <c r="CP25" s="34"/>
      <c r="CQ25" s="62"/>
      <c r="CR25" s="44"/>
      <c r="CS25" s="45"/>
      <c r="CT25" s="45"/>
      <c r="CU25" s="45"/>
      <c r="CV25" s="45"/>
      <c r="CW25" s="45"/>
      <c r="CX25" s="45"/>
      <c r="CY25" s="45"/>
      <c r="CZ25" s="45"/>
      <c r="DA25" s="45"/>
      <c r="DB25" s="45"/>
      <c r="DC25" s="45"/>
      <c r="DD25" s="45"/>
      <c r="DE25" s="45"/>
      <c r="DF25" s="45"/>
      <c r="DG25" s="45"/>
      <c r="DH25" s="45"/>
      <c r="DI25" s="45"/>
      <c r="DJ25" s="45"/>
      <c r="DK25" s="45"/>
      <c r="DL25" s="46"/>
      <c r="DM25" s="44"/>
      <c r="DN25" s="45"/>
      <c r="DO25" s="45"/>
      <c r="DP25" s="45"/>
      <c r="DQ25" s="45"/>
      <c r="DR25" s="45"/>
      <c r="DS25" s="45"/>
      <c r="DT25" s="45"/>
      <c r="DU25" s="45"/>
      <c r="DV25" s="45"/>
      <c r="DW25" s="45"/>
      <c r="DX25" s="45"/>
      <c r="DY25" s="45"/>
      <c r="DZ25" s="45"/>
      <c r="EA25" s="45"/>
      <c r="EB25" s="45"/>
      <c r="EC25" s="45"/>
      <c r="ED25" s="45"/>
      <c r="EE25" s="45"/>
      <c r="EF25" s="45"/>
      <c r="EG25" s="46"/>
    </row>
    <row r="26" spans="1:137" ht="18.75" x14ac:dyDescent="0.25">
      <c r="A26" s="4" t="s">
        <v>241</v>
      </c>
      <c r="B26" s="2" t="s">
        <v>125</v>
      </c>
      <c r="C26" s="4">
        <f>I1</f>
        <v>16300</v>
      </c>
      <c r="D26" s="2">
        <v>15.346</v>
      </c>
      <c r="E26" s="2">
        <v>16.831</v>
      </c>
      <c r="F26" s="2">
        <v>19.306000000000001</v>
      </c>
      <c r="G26" s="4">
        <v>12.54</v>
      </c>
      <c r="H26" s="4">
        <v>14.025</v>
      </c>
      <c r="I26" s="89">
        <v>16.5</v>
      </c>
      <c r="J26" s="93"/>
      <c r="K26" s="27"/>
      <c r="L26" s="94"/>
      <c r="M26" s="93"/>
      <c r="N26" s="27"/>
      <c r="O26" s="94"/>
      <c r="P26" s="93"/>
      <c r="Q26" s="27"/>
      <c r="R26" s="94"/>
      <c r="S26" s="93"/>
      <c r="T26" s="27"/>
      <c r="U26" s="94"/>
      <c r="V26" s="93"/>
      <c r="W26" s="27"/>
      <c r="X26" s="94"/>
      <c r="Y26" s="93"/>
      <c r="Z26" s="27"/>
      <c r="AA26" s="94"/>
      <c r="AB26" s="93"/>
      <c r="AC26" s="27"/>
      <c r="AD26" s="94"/>
      <c r="AE26" s="45"/>
      <c r="AF26" s="45"/>
      <c r="AG26" s="45"/>
      <c r="AH26" s="45"/>
      <c r="AI26" s="45"/>
      <c r="AJ26" s="45"/>
      <c r="AK26" s="45"/>
      <c r="AL26" s="45"/>
      <c r="AM26" s="45"/>
      <c r="AN26" s="45"/>
      <c r="AO26" s="45"/>
      <c r="AP26" s="45"/>
      <c r="AQ26" s="45"/>
      <c r="AR26" s="45"/>
      <c r="AS26" s="45"/>
      <c r="AT26" s="45"/>
      <c r="AU26" s="45"/>
      <c r="AV26" s="45"/>
      <c r="AW26" s="45"/>
      <c r="AX26" s="45"/>
      <c r="AY26" s="46"/>
      <c r="AZ26" s="44"/>
      <c r="BA26" s="45"/>
      <c r="BB26" s="45"/>
      <c r="BC26" s="45"/>
      <c r="BD26" s="45"/>
      <c r="BE26" s="45"/>
      <c r="BF26" s="45"/>
      <c r="BG26" s="45"/>
      <c r="BH26" s="45"/>
      <c r="BI26" s="45"/>
      <c r="BJ26" s="45"/>
      <c r="BK26" s="45"/>
      <c r="BL26" s="45"/>
      <c r="BM26" s="45"/>
      <c r="BN26" s="45"/>
      <c r="BO26" s="45"/>
      <c r="BP26" s="45"/>
      <c r="BQ26" s="45"/>
      <c r="BR26" s="45"/>
      <c r="BS26" s="45"/>
      <c r="BT26" s="46"/>
      <c r="BU26" s="44"/>
      <c r="BV26" s="45"/>
      <c r="BW26" s="45"/>
      <c r="BX26" s="45"/>
      <c r="BY26" s="45"/>
      <c r="BZ26" s="45"/>
      <c r="CA26" s="45"/>
      <c r="CB26" s="45"/>
      <c r="CC26" s="45"/>
      <c r="CD26" s="45"/>
      <c r="CE26" s="45"/>
      <c r="CF26" s="45"/>
      <c r="CG26" s="45"/>
      <c r="CH26" s="45"/>
      <c r="CI26" s="45"/>
      <c r="CJ26" s="45"/>
      <c r="CK26" s="45"/>
      <c r="CL26" s="45"/>
      <c r="CM26" s="45"/>
      <c r="CN26" s="45"/>
      <c r="CO26" s="46"/>
      <c r="CP26" s="34"/>
      <c r="CQ26" s="62"/>
      <c r="CR26" s="44"/>
      <c r="CS26" s="45"/>
      <c r="CT26" s="45"/>
      <c r="CU26" s="45"/>
      <c r="CV26" s="45"/>
      <c r="CW26" s="45"/>
      <c r="CX26" s="45"/>
      <c r="CY26" s="45"/>
      <c r="CZ26" s="45"/>
      <c r="DA26" s="45"/>
      <c r="DB26" s="45"/>
      <c r="DC26" s="45"/>
      <c r="DD26" s="45"/>
      <c r="DE26" s="45"/>
      <c r="DF26" s="45"/>
      <c r="DG26" s="45"/>
      <c r="DH26" s="45"/>
      <c r="DI26" s="45"/>
      <c r="DJ26" s="45"/>
      <c r="DK26" s="45"/>
      <c r="DL26" s="46"/>
      <c r="DM26" s="44"/>
      <c r="DN26" s="45"/>
      <c r="DO26" s="45"/>
      <c r="DP26" s="45"/>
      <c r="DQ26" s="45"/>
      <c r="DR26" s="45"/>
      <c r="DS26" s="45"/>
      <c r="DT26" s="45"/>
      <c r="DU26" s="45"/>
      <c r="DV26" s="45"/>
      <c r="DW26" s="45"/>
      <c r="DX26" s="45"/>
      <c r="DY26" s="45"/>
      <c r="DZ26" s="45"/>
      <c r="EA26" s="45"/>
      <c r="EB26" s="45"/>
      <c r="EC26" s="45"/>
      <c r="ED26" s="45"/>
      <c r="EE26" s="45"/>
      <c r="EF26" s="45"/>
      <c r="EG26" s="46"/>
    </row>
    <row r="27" spans="1:137" ht="18.75" x14ac:dyDescent="0.25">
      <c r="A27" s="4" t="s">
        <v>241</v>
      </c>
      <c r="B27" s="2" t="s">
        <v>128</v>
      </c>
      <c r="C27" s="4">
        <f>I1</f>
        <v>16300</v>
      </c>
      <c r="D27" s="2">
        <v>15.566000000000001</v>
      </c>
      <c r="E27" s="2">
        <v>17.329999999999998</v>
      </c>
      <c r="F27" s="2">
        <v>20.27</v>
      </c>
      <c r="G27" s="4">
        <v>14.896000000000001</v>
      </c>
      <c r="H27" s="4">
        <v>16.66</v>
      </c>
      <c r="I27" s="89">
        <v>19.600000000000001</v>
      </c>
      <c r="J27" s="93"/>
      <c r="K27" s="27"/>
      <c r="L27" s="94"/>
      <c r="M27" s="93"/>
      <c r="N27" s="27"/>
      <c r="O27" s="94"/>
      <c r="P27" s="93"/>
      <c r="Q27" s="27"/>
      <c r="R27" s="94"/>
      <c r="S27" s="93"/>
      <c r="T27" s="27"/>
      <c r="U27" s="94"/>
      <c r="V27" s="93"/>
      <c r="W27" s="27"/>
      <c r="X27" s="94"/>
      <c r="Y27" s="93"/>
      <c r="Z27" s="27"/>
      <c r="AA27" s="94"/>
      <c r="AB27" s="93"/>
      <c r="AC27" s="27"/>
      <c r="AD27" s="94"/>
      <c r="AE27" s="45"/>
      <c r="AF27" s="45"/>
      <c r="AG27" s="45"/>
      <c r="AH27" s="45"/>
      <c r="AI27" s="45"/>
      <c r="AJ27" s="45"/>
      <c r="AK27" s="45"/>
      <c r="AL27" s="45"/>
      <c r="AM27" s="45"/>
      <c r="AN27" s="45"/>
      <c r="AO27" s="45"/>
      <c r="AP27" s="45"/>
      <c r="AQ27" s="45"/>
      <c r="AR27" s="45"/>
      <c r="AS27" s="45"/>
      <c r="AT27" s="45"/>
      <c r="AU27" s="45"/>
      <c r="AV27" s="45"/>
      <c r="AW27" s="45"/>
      <c r="AX27" s="45"/>
      <c r="AY27" s="46"/>
      <c r="AZ27" s="44"/>
      <c r="BA27" s="45"/>
      <c r="BB27" s="45"/>
      <c r="BC27" s="45"/>
      <c r="BD27" s="45"/>
      <c r="BE27" s="45"/>
      <c r="BF27" s="45"/>
      <c r="BG27" s="45"/>
      <c r="BH27" s="45"/>
      <c r="BI27" s="45"/>
      <c r="BJ27" s="45"/>
      <c r="BK27" s="45"/>
      <c r="BL27" s="45"/>
      <c r="BM27" s="45"/>
      <c r="BN27" s="45"/>
      <c r="BO27" s="45"/>
      <c r="BP27" s="45"/>
      <c r="BQ27" s="45"/>
      <c r="BR27" s="45"/>
      <c r="BS27" s="45"/>
      <c r="BT27" s="46"/>
      <c r="BU27" s="44"/>
      <c r="BV27" s="45"/>
      <c r="BW27" s="45"/>
      <c r="BX27" s="45"/>
      <c r="BY27" s="45"/>
      <c r="BZ27" s="45"/>
      <c r="CA27" s="45"/>
      <c r="CB27" s="45"/>
      <c r="CC27" s="45"/>
      <c r="CD27" s="45"/>
      <c r="CE27" s="45"/>
      <c r="CF27" s="45"/>
      <c r="CG27" s="45"/>
      <c r="CH27" s="45"/>
      <c r="CI27" s="45"/>
      <c r="CJ27" s="45"/>
      <c r="CK27" s="45"/>
      <c r="CL27" s="45"/>
      <c r="CM27" s="45"/>
      <c r="CN27" s="45"/>
      <c r="CO27" s="46"/>
      <c r="CP27" s="34"/>
      <c r="CQ27" s="62"/>
      <c r="CR27" s="44"/>
      <c r="CS27" s="45"/>
      <c r="CT27" s="45"/>
      <c r="CU27" s="45"/>
      <c r="CV27" s="45"/>
      <c r="CW27" s="45"/>
      <c r="CX27" s="45"/>
      <c r="CY27" s="45"/>
      <c r="CZ27" s="45"/>
      <c r="DA27" s="45"/>
      <c r="DB27" s="45"/>
      <c r="DC27" s="45"/>
      <c r="DD27" s="45"/>
      <c r="DE27" s="45"/>
      <c r="DF27" s="45"/>
      <c r="DG27" s="45"/>
      <c r="DH27" s="45"/>
      <c r="DI27" s="45"/>
      <c r="DJ27" s="45"/>
      <c r="DK27" s="45"/>
      <c r="DL27" s="46"/>
      <c r="DM27" s="44"/>
      <c r="DN27" s="45"/>
      <c r="DO27" s="45"/>
      <c r="DP27" s="45"/>
      <c r="DQ27" s="45"/>
      <c r="DR27" s="45"/>
      <c r="DS27" s="45"/>
      <c r="DT27" s="45"/>
      <c r="DU27" s="45"/>
      <c r="DV27" s="45"/>
      <c r="DW27" s="45"/>
      <c r="DX27" s="45"/>
      <c r="DY27" s="45"/>
      <c r="DZ27" s="45"/>
      <c r="EA27" s="45"/>
      <c r="EB27" s="45"/>
      <c r="EC27" s="45"/>
      <c r="ED27" s="45"/>
      <c r="EE27" s="45"/>
      <c r="EF27" s="45"/>
      <c r="EG27" s="46"/>
    </row>
    <row r="28" spans="1:137" ht="18.75" x14ac:dyDescent="0.25">
      <c r="A28" s="4" t="s">
        <v>241</v>
      </c>
      <c r="B28" s="2" t="s">
        <v>131</v>
      </c>
      <c r="C28" s="4">
        <f>I1</f>
        <v>16300</v>
      </c>
      <c r="D28" s="2">
        <v>5.12</v>
      </c>
      <c r="E28" s="2">
        <v>5.66</v>
      </c>
      <c r="F28" s="2">
        <v>6.56</v>
      </c>
      <c r="G28" s="4">
        <v>4.5599999999999996</v>
      </c>
      <c r="H28" s="4">
        <v>5.0999999999999996</v>
      </c>
      <c r="I28" s="89">
        <v>6</v>
      </c>
      <c r="J28" s="93"/>
      <c r="K28" s="27"/>
      <c r="L28" s="94"/>
      <c r="M28" s="93"/>
      <c r="N28" s="27"/>
      <c r="O28" s="94"/>
      <c r="P28" s="93"/>
      <c r="Q28" s="27"/>
      <c r="R28" s="94"/>
      <c r="S28" s="93"/>
      <c r="T28" s="27"/>
      <c r="U28" s="94"/>
      <c r="V28" s="93"/>
      <c r="W28" s="27"/>
      <c r="X28" s="94"/>
      <c r="Y28" s="93"/>
      <c r="Z28" s="27"/>
      <c r="AA28" s="94"/>
      <c r="AB28" s="93"/>
      <c r="AC28" s="27"/>
      <c r="AD28" s="94"/>
      <c r="AE28" s="45"/>
      <c r="AF28" s="45"/>
      <c r="AG28" s="45"/>
      <c r="AH28" s="45"/>
      <c r="AI28" s="45"/>
      <c r="AJ28" s="45"/>
      <c r="AK28" s="45"/>
      <c r="AL28" s="45"/>
      <c r="AM28" s="45"/>
      <c r="AN28" s="45"/>
      <c r="AO28" s="45"/>
      <c r="AP28" s="45"/>
      <c r="AQ28" s="45"/>
      <c r="AR28" s="45"/>
      <c r="AS28" s="45"/>
      <c r="AT28" s="45"/>
      <c r="AU28" s="45"/>
      <c r="AV28" s="45"/>
      <c r="AW28" s="45"/>
      <c r="AX28" s="45"/>
      <c r="AY28" s="46"/>
      <c r="AZ28" s="44"/>
      <c r="BA28" s="45"/>
      <c r="BB28" s="45"/>
      <c r="BC28" s="45"/>
      <c r="BD28" s="45"/>
      <c r="BE28" s="45"/>
      <c r="BF28" s="45"/>
      <c r="BG28" s="45"/>
      <c r="BH28" s="45"/>
      <c r="BI28" s="45"/>
      <c r="BJ28" s="45"/>
      <c r="BK28" s="45"/>
      <c r="BL28" s="45"/>
      <c r="BM28" s="45"/>
      <c r="BN28" s="45"/>
      <c r="BO28" s="45"/>
      <c r="BP28" s="45"/>
      <c r="BQ28" s="45"/>
      <c r="BR28" s="45"/>
      <c r="BS28" s="45"/>
      <c r="BT28" s="46"/>
      <c r="BU28" s="44"/>
      <c r="BV28" s="45"/>
      <c r="BW28" s="45"/>
      <c r="BX28" s="45"/>
      <c r="BY28" s="45"/>
      <c r="BZ28" s="45"/>
      <c r="CA28" s="45"/>
      <c r="CB28" s="45"/>
      <c r="CC28" s="45"/>
      <c r="CD28" s="45"/>
      <c r="CE28" s="45"/>
      <c r="CF28" s="45"/>
      <c r="CG28" s="45"/>
      <c r="CH28" s="45"/>
      <c r="CI28" s="45"/>
      <c r="CJ28" s="45"/>
      <c r="CK28" s="45"/>
      <c r="CL28" s="45"/>
      <c r="CM28" s="45"/>
      <c r="CN28" s="45"/>
      <c r="CO28" s="46"/>
      <c r="CP28" s="34"/>
      <c r="CQ28" s="62"/>
      <c r="CR28" s="44"/>
      <c r="CS28" s="45"/>
      <c r="CT28" s="45"/>
      <c r="CU28" s="45"/>
      <c r="CV28" s="45"/>
      <c r="CW28" s="45"/>
      <c r="CX28" s="45"/>
      <c r="CY28" s="45"/>
      <c r="CZ28" s="45"/>
      <c r="DA28" s="45"/>
      <c r="DB28" s="45"/>
      <c r="DC28" s="45"/>
      <c r="DD28" s="45"/>
      <c r="DE28" s="45"/>
      <c r="DF28" s="45"/>
      <c r="DG28" s="45"/>
      <c r="DH28" s="45"/>
      <c r="DI28" s="45"/>
      <c r="DJ28" s="45"/>
      <c r="DK28" s="45"/>
      <c r="DL28" s="46"/>
      <c r="DM28" s="44"/>
      <c r="DN28" s="45"/>
      <c r="DO28" s="45"/>
      <c r="DP28" s="45"/>
      <c r="DQ28" s="45"/>
      <c r="DR28" s="45"/>
      <c r="DS28" s="45"/>
      <c r="DT28" s="45"/>
      <c r="DU28" s="45"/>
      <c r="DV28" s="45"/>
      <c r="DW28" s="45"/>
      <c r="DX28" s="45"/>
      <c r="DY28" s="45"/>
      <c r="DZ28" s="45"/>
      <c r="EA28" s="45"/>
      <c r="EB28" s="45"/>
      <c r="EC28" s="45"/>
      <c r="ED28" s="45"/>
      <c r="EE28" s="45"/>
      <c r="EF28" s="45"/>
      <c r="EG28" s="46"/>
    </row>
    <row r="29" spans="1:137" ht="18.75" x14ac:dyDescent="0.25">
      <c r="A29" s="4" t="s">
        <v>241</v>
      </c>
      <c r="B29" s="2" t="s">
        <v>134</v>
      </c>
      <c r="C29" s="4">
        <f>I1</f>
        <v>16300</v>
      </c>
      <c r="D29" s="2">
        <v>27.367000000000001</v>
      </c>
      <c r="E29" s="2">
        <v>30.420999999999999</v>
      </c>
      <c r="F29" s="2">
        <v>35.51</v>
      </c>
      <c r="G29" s="4">
        <v>25.786999999999999</v>
      </c>
      <c r="H29" s="4">
        <v>28.841000000000001</v>
      </c>
      <c r="I29" s="89">
        <v>33.93</v>
      </c>
      <c r="J29" s="93"/>
      <c r="K29" s="27"/>
      <c r="L29" s="94"/>
      <c r="M29" s="93"/>
      <c r="N29" s="27"/>
      <c r="O29" s="94"/>
      <c r="P29" s="93"/>
      <c r="Q29" s="27"/>
      <c r="R29" s="94"/>
      <c r="S29" s="93"/>
      <c r="T29" s="27"/>
      <c r="U29" s="94"/>
      <c r="V29" s="93"/>
      <c r="W29" s="27"/>
      <c r="X29" s="94"/>
      <c r="Y29" s="93"/>
      <c r="Z29" s="27"/>
      <c r="AA29" s="94"/>
      <c r="AB29" s="93"/>
      <c r="AC29" s="27"/>
      <c r="AD29" s="94"/>
      <c r="AE29" s="45"/>
      <c r="AF29" s="45"/>
      <c r="AG29" s="45"/>
      <c r="AH29" s="45"/>
      <c r="AI29" s="45"/>
      <c r="AJ29" s="45"/>
      <c r="AK29" s="45"/>
      <c r="AL29" s="45"/>
      <c r="AM29" s="45"/>
      <c r="AN29" s="45"/>
      <c r="AO29" s="45"/>
      <c r="AP29" s="45"/>
      <c r="AQ29" s="45"/>
      <c r="AR29" s="45"/>
      <c r="AS29" s="45"/>
      <c r="AT29" s="45"/>
      <c r="AU29" s="45"/>
      <c r="AV29" s="45"/>
      <c r="AW29" s="45"/>
      <c r="AX29" s="45"/>
      <c r="AY29" s="46"/>
      <c r="AZ29" s="44"/>
      <c r="BA29" s="45"/>
      <c r="BB29" s="45"/>
      <c r="BC29" s="45"/>
      <c r="BD29" s="45"/>
      <c r="BE29" s="45"/>
      <c r="BF29" s="45"/>
      <c r="BG29" s="45"/>
      <c r="BH29" s="45"/>
      <c r="BI29" s="45"/>
      <c r="BJ29" s="45"/>
      <c r="BK29" s="45"/>
      <c r="BL29" s="45"/>
      <c r="BM29" s="45"/>
      <c r="BN29" s="45"/>
      <c r="BO29" s="45"/>
      <c r="BP29" s="45"/>
      <c r="BQ29" s="45"/>
      <c r="BR29" s="45"/>
      <c r="BS29" s="45"/>
      <c r="BT29" s="46"/>
      <c r="BU29" s="44"/>
      <c r="BV29" s="45"/>
      <c r="BW29" s="45"/>
      <c r="BX29" s="45"/>
      <c r="BY29" s="45"/>
      <c r="BZ29" s="45"/>
      <c r="CA29" s="45"/>
      <c r="CB29" s="45"/>
      <c r="CC29" s="45"/>
      <c r="CD29" s="45"/>
      <c r="CE29" s="45"/>
      <c r="CF29" s="45"/>
      <c r="CG29" s="45"/>
      <c r="CH29" s="45"/>
      <c r="CI29" s="45"/>
      <c r="CJ29" s="45"/>
      <c r="CK29" s="45"/>
      <c r="CL29" s="45"/>
      <c r="CM29" s="45"/>
      <c r="CN29" s="45"/>
      <c r="CO29" s="46"/>
      <c r="CP29" s="34"/>
      <c r="CQ29" s="62"/>
      <c r="CR29" s="44"/>
      <c r="CS29" s="45"/>
      <c r="CT29" s="45"/>
      <c r="CU29" s="45"/>
      <c r="CV29" s="45"/>
      <c r="CW29" s="45"/>
      <c r="CX29" s="45"/>
      <c r="CY29" s="45"/>
      <c r="CZ29" s="45"/>
      <c r="DA29" s="45"/>
      <c r="DB29" s="45"/>
      <c r="DC29" s="45"/>
      <c r="DD29" s="45"/>
      <c r="DE29" s="45"/>
      <c r="DF29" s="45"/>
      <c r="DG29" s="45"/>
      <c r="DH29" s="45"/>
      <c r="DI29" s="45"/>
      <c r="DJ29" s="45"/>
      <c r="DK29" s="45"/>
      <c r="DL29" s="46"/>
      <c r="DM29" s="44"/>
      <c r="DN29" s="45"/>
      <c r="DO29" s="45"/>
      <c r="DP29" s="45"/>
      <c r="DQ29" s="45"/>
      <c r="DR29" s="45"/>
      <c r="DS29" s="45"/>
      <c r="DT29" s="45"/>
      <c r="DU29" s="45"/>
      <c r="DV29" s="45"/>
      <c r="DW29" s="45"/>
      <c r="DX29" s="45"/>
      <c r="DY29" s="45"/>
      <c r="DZ29" s="45"/>
      <c r="EA29" s="45"/>
      <c r="EB29" s="45"/>
      <c r="EC29" s="45"/>
      <c r="ED29" s="45"/>
      <c r="EE29" s="45"/>
      <c r="EF29" s="45"/>
      <c r="EG29" s="46"/>
    </row>
    <row r="30" spans="1:137" ht="18.75" x14ac:dyDescent="0.25">
      <c r="A30" s="4" t="s">
        <v>241</v>
      </c>
      <c r="B30" s="2" t="s">
        <v>242</v>
      </c>
      <c r="C30" s="4">
        <f>I1</f>
        <v>16300</v>
      </c>
      <c r="D30" s="2">
        <v>6.65</v>
      </c>
      <c r="E30" s="2">
        <v>7.4109999999999996</v>
      </c>
      <c r="F30" s="2">
        <v>8.6780000000000008</v>
      </c>
      <c r="G30" s="4">
        <v>6.4219999999999997</v>
      </c>
      <c r="H30" s="4">
        <v>7.1829999999999998</v>
      </c>
      <c r="I30" s="89">
        <v>8.4499999999999993</v>
      </c>
      <c r="J30" s="93"/>
      <c r="K30" s="27"/>
      <c r="L30" s="94"/>
      <c r="M30" s="93"/>
      <c r="N30" s="27"/>
      <c r="O30" s="94"/>
      <c r="P30" s="93"/>
      <c r="Q30" s="27"/>
      <c r="R30" s="94"/>
      <c r="S30" s="93"/>
      <c r="T30" s="27"/>
      <c r="U30" s="94"/>
      <c r="V30" s="93"/>
      <c r="W30" s="27"/>
      <c r="X30" s="94"/>
      <c r="Y30" s="93"/>
      <c r="Z30" s="27"/>
      <c r="AA30" s="94"/>
      <c r="AB30" s="93"/>
      <c r="AC30" s="27"/>
      <c r="AD30" s="94"/>
      <c r="AE30" s="45"/>
      <c r="AF30" s="45"/>
      <c r="AG30" s="45"/>
      <c r="AH30" s="45"/>
      <c r="AI30" s="45"/>
      <c r="AJ30" s="45"/>
      <c r="AK30" s="45"/>
      <c r="AL30" s="45"/>
      <c r="AM30" s="45"/>
      <c r="AN30" s="45"/>
      <c r="AO30" s="45"/>
      <c r="AP30" s="45"/>
      <c r="AQ30" s="45"/>
      <c r="AR30" s="45"/>
      <c r="AS30" s="45"/>
      <c r="AT30" s="45"/>
      <c r="AU30" s="45"/>
      <c r="AV30" s="45"/>
      <c r="AW30" s="45"/>
      <c r="AX30" s="45"/>
      <c r="AY30" s="46"/>
      <c r="AZ30" s="44"/>
      <c r="BA30" s="45"/>
      <c r="BB30" s="45"/>
      <c r="BC30" s="45"/>
      <c r="BD30" s="45"/>
      <c r="BE30" s="45"/>
      <c r="BF30" s="45"/>
      <c r="BG30" s="45"/>
      <c r="BH30" s="45"/>
      <c r="BI30" s="45"/>
      <c r="BJ30" s="45"/>
      <c r="BK30" s="45"/>
      <c r="BL30" s="45"/>
      <c r="BM30" s="45"/>
      <c r="BN30" s="45"/>
      <c r="BO30" s="45"/>
      <c r="BP30" s="45"/>
      <c r="BQ30" s="45"/>
      <c r="BR30" s="45"/>
      <c r="BS30" s="45"/>
      <c r="BT30" s="46"/>
      <c r="BU30" s="44"/>
      <c r="BV30" s="45"/>
      <c r="BW30" s="45"/>
      <c r="BX30" s="45"/>
      <c r="BY30" s="45"/>
      <c r="BZ30" s="45"/>
      <c r="CA30" s="45"/>
      <c r="CB30" s="45"/>
      <c r="CC30" s="45"/>
      <c r="CD30" s="45"/>
      <c r="CE30" s="45"/>
      <c r="CF30" s="45"/>
      <c r="CG30" s="45"/>
      <c r="CH30" s="45"/>
      <c r="CI30" s="45"/>
      <c r="CJ30" s="45"/>
      <c r="CK30" s="45"/>
      <c r="CL30" s="45"/>
      <c r="CM30" s="45"/>
      <c r="CN30" s="45"/>
      <c r="CO30" s="46"/>
      <c r="CP30" s="34"/>
      <c r="CQ30" s="62"/>
      <c r="CR30" s="44"/>
      <c r="CS30" s="45"/>
      <c r="CT30" s="45"/>
      <c r="CU30" s="45"/>
      <c r="CV30" s="45"/>
      <c r="CW30" s="45"/>
      <c r="CX30" s="45"/>
      <c r="CY30" s="45"/>
      <c r="CZ30" s="45"/>
      <c r="DA30" s="45"/>
      <c r="DB30" s="45"/>
      <c r="DC30" s="45"/>
      <c r="DD30" s="45"/>
      <c r="DE30" s="45"/>
      <c r="DF30" s="45"/>
      <c r="DG30" s="45"/>
      <c r="DH30" s="45"/>
      <c r="DI30" s="45"/>
      <c r="DJ30" s="45"/>
      <c r="DK30" s="45"/>
      <c r="DL30" s="46"/>
      <c r="DM30" s="44"/>
      <c r="DN30" s="45"/>
      <c r="DO30" s="45"/>
      <c r="DP30" s="45"/>
      <c r="DQ30" s="45"/>
      <c r="DR30" s="45"/>
      <c r="DS30" s="45"/>
      <c r="DT30" s="45"/>
      <c r="DU30" s="45"/>
      <c r="DV30" s="45"/>
      <c r="DW30" s="45"/>
      <c r="DX30" s="45"/>
      <c r="DY30" s="45"/>
      <c r="DZ30" s="45"/>
      <c r="EA30" s="45"/>
      <c r="EB30" s="45"/>
      <c r="EC30" s="45"/>
      <c r="ED30" s="45"/>
      <c r="EE30" s="45"/>
      <c r="EF30" s="45"/>
      <c r="EG30" s="46"/>
    </row>
    <row r="31" spans="1:137" ht="18.75" x14ac:dyDescent="0.25">
      <c r="A31" s="2" t="s">
        <v>6</v>
      </c>
      <c r="B31" s="2" t="s">
        <v>140</v>
      </c>
      <c r="C31" s="4">
        <f>I1</f>
        <v>16300</v>
      </c>
      <c r="D31" s="2">
        <v>4.5599999999999996</v>
      </c>
      <c r="E31" s="2">
        <v>5.12</v>
      </c>
      <c r="F31" s="2">
        <v>5.9</v>
      </c>
      <c r="G31" s="4">
        <v>3.42</v>
      </c>
      <c r="H31" s="4">
        <v>3.98</v>
      </c>
      <c r="I31" s="89">
        <v>4.76</v>
      </c>
      <c r="J31" s="97">
        <v>4.5599999999999996</v>
      </c>
      <c r="K31" s="2">
        <v>5.12</v>
      </c>
      <c r="L31" s="98">
        <v>5.9</v>
      </c>
      <c r="M31" s="97">
        <f t="shared" ref="M31:M50" si="126">J31+0.1</f>
        <v>4.6599999999999993</v>
      </c>
      <c r="N31" s="2">
        <f t="shared" ref="N31:N50" si="127">K31+0.1</f>
        <v>5.22</v>
      </c>
      <c r="O31" s="98">
        <f t="shared" ref="O31:O50" si="128">L31+0.1</f>
        <v>6</v>
      </c>
      <c r="P31" s="97">
        <f t="shared" ref="P31:P50" si="129">M31+0.1</f>
        <v>4.7599999999999989</v>
      </c>
      <c r="Q31" s="2">
        <f t="shared" ref="Q31:Q50" si="130">N31+0.1</f>
        <v>5.3199999999999994</v>
      </c>
      <c r="R31" s="98">
        <f t="shared" ref="R31:R50" si="131">O31+0.1</f>
        <v>6.1</v>
      </c>
      <c r="S31" s="97">
        <f t="shared" ref="S31:S50" si="132">P31+0.1</f>
        <v>4.8599999999999985</v>
      </c>
      <c r="T31" s="2">
        <f t="shared" ref="T31:T50" si="133">Q31+0.1</f>
        <v>5.419999999999999</v>
      </c>
      <c r="U31" s="98">
        <f t="shared" ref="U31:U50" si="134">R31+0.1</f>
        <v>6.1999999999999993</v>
      </c>
      <c r="V31" s="97">
        <f t="shared" ref="V31:V50" si="135">S31+0.1</f>
        <v>4.9599999999999982</v>
      </c>
      <c r="W31" s="2">
        <f t="shared" ref="W31:W50" si="136">T31+0.1</f>
        <v>5.5199999999999987</v>
      </c>
      <c r="X31" s="98">
        <f t="shared" ref="X31:X50" si="137">U31+0.1</f>
        <v>6.2999999999999989</v>
      </c>
      <c r="Y31" s="97">
        <f t="shared" ref="Y31:Y50" si="138">V31+0.1</f>
        <v>5.0599999999999978</v>
      </c>
      <c r="Z31" s="2">
        <f t="shared" ref="Z31:Z50" si="139">W31+0.1</f>
        <v>5.6199999999999983</v>
      </c>
      <c r="AA31" s="98">
        <f t="shared" ref="AA31:AA50" si="140">X31+0.1</f>
        <v>6.3999999999999986</v>
      </c>
      <c r="AB31" s="97">
        <f t="shared" ref="AB31:AB50" si="141">Y31+0.1</f>
        <v>5.1599999999999975</v>
      </c>
      <c r="AC31" s="2">
        <f t="shared" ref="AC31:AC50" si="142">Z31+0.1</f>
        <v>5.719999999999998</v>
      </c>
      <c r="AD31" s="98">
        <f t="shared" ref="AD31:AD50" si="143">AA31+0.1</f>
        <v>6.4999999999999982</v>
      </c>
      <c r="AE31" s="52">
        <v>3.42</v>
      </c>
      <c r="AF31" s="4">
        <v>3.98</v>
      </c>
      <c r="AG31" s="4">
        <v>4.76</v>
      </c>
      <c r="AH31" s="41">
        <f t="shared" ref="AH31:AH50" si="144">AE31+0.1</f>
        <v>3.52</v>
      </c>
      <c r="AI31" s="41">
        <f t="shared" ref="AI31:AI50" si="145">AF31+0.1</f>
        <v>4.08</v>
      </c>
      <c r="AJ31" s="41">
        <f t="shared" ref="AJ31:AJ50" si="146">AG31+0.1</f>
        <v>4.8599999999999994</v>
      </c>
      <c r="AK31" s="41">
        <f t="shared" ref="AK31:AK50" si="147">AH31+0.1</f>
        <v>3.62</v>
      </c>
      <c r="AL31" s="42">
        <f t="shared" ref="AL31:AL50" si="148">AI31+0.1</f>
        <v>4.18</v>
      </c>
      <c r="AM31" s="42">
        <f t="shared" ref="AM31:AM50" si="149">AJ31+0.1</f>
        <v>4.9599999999999991</v>
      </c>
      <c r="AN31" s="42">
        <f t="shared" ref="AN31:AN50" si="150">AK31+0.1</f>
        <v>3.72</v>
      </c>
      <c r="AO31" s="42">
        <f t="shared" ref="AO31:AO50" si="151">AL31+0.1</f>
        <v>4.2799999999999994</v>
      </c>
      <c r="AP31" s="42">
        <f t="shared" ref="AP31:AP50" si="152">AM31+0.1</f>
        <v>5.0599999999999987</v>
      </c>
      <c r="AQ31" s="42">
        <f t="shared" ref="AQ31:AQ50" si="153">AN31+0.1</f>
        <v>3.8200000000000003</v>
      </c>
      <c r="AR31" s="42">
        <f t="shared" ref="AR31:AR50" si="154">AO31+0.1</f>
        <v>4.379999999999999</v>
      </c>
      <c r="AS31" s="42">
        <f t="shared" ref="AS31:AS50" si="155">AP31+0.1</f>
        <v>5.1599999999999984</v>
      </c>
      <c r="AT31" s="42">
        <f t="shared" ref="AT31:AT50" si="156">AQ31+0.1</f>
        <v>3.9200000000000004</v>
      </c>
      <c r="AU31" s="42">
        <f t="shared" ref="AU31:AU50" si="157">AR31+0.1</f>
        <v>4.4799999999999986</v>
      </c>
      <c r="AV31" s="42">
        <f t="shared" ref="AV31:AV50" si="158">AS31+0.1</f>
        <v>5.259999999999998</v>
      </c>
      <c r="AW31" s="42">
        <f t="shared" ref="AW31:AW50" si="159">AT31+0.1</f>
        <v>4.0200000000000005</v>
      </c>
      <c r="AX31" s="42">
        <f t="shared" ref="AX31:AX50" si="160">AU31+0.1</f>
        <v>4.5799999999999983</v>
      </c>
      <c r="AY31" s="47">
        <f t="shared" ref="AY31:AY50" si="161">AV31+0.1</f>
        <v>5.3599999999999977</v>
      </c>
      <c r="AZ31" s="51">
        <f t="shared" ref="AZ31:AZ50" si="162">AE31*C31*0.375</f>
        <v>20904.75</v>
      </c>
      <c r="BA31" s="3">
        <f t="shared" ref="BA31:BA50" si="163">AF31*C31*0.583</f>
        <v>37821.541999999994</v>
      </c>
      <c r="BB31" s="3">
        <f t="shared" ref="BB31:BB50" si="164">AG31*C31*0.75</f>
        <v>58191</v>
      </c>
      <c r="BC31" s="41">
        <f t="shared" ref="BC31:BC50" si="165">AH31*C31*0.375</f>
        <v>21516</v>
      </c>
      <c r="BD31" s="41">
        <f t="shared" ref="BD31:BD50" si="166">AI31*C31*0.583</f>
        <v>38771.831999999995</v>
      </c>
      <c r="BE31" s="41">
        <f t="shared" ref="BE31:BE50" si="167">AJ31*C31*0.75</f>
        <v>59413.499999999985</v>
      </c>
      <c r="BF31" s="41">
        <f t="shared" ref="BF31:BF50" si="168">AK31*C31*0.375</f>
        <v>22127.25</v>
      </c>
      <c r="BG31" s="42">
        <f t="shared" ref="BG31:BG50" si="169">AL31*C31*0.583</f>
        <v>39722.121999999996</v>
      </c>
      <c r="BH31" s="42">
        <f t="shared" ref="BH31:BH50" si="170">AM31*C31*0.75</f>
        <v>60635.999999999985</v>
      </c>
      <c r="BI31" s="42">
        <f t="shared" ref="BI31:BI50" si="171">AN31*C31*0.375</f>
        <v>22738.5</v>
      </c>
      <c r="BJ31" s="42">
        <f t="shared" ref="BJ31:BJ50" si="172">AO31*C31*0.583</f>
        <v>40672.411999999989</v>
      </c>
      <c r="BK31" s="42">
        <f t="shared" ref="BK31:BK50" si="173">AP31*C31*0.75</f>
        <v>61858.499999999985</v>
      </c>
      <c r="BL31" s="42">
        <f t="shared" ref="BL31:BL50" si="174">AQ31*C31*0.375</f>
        <v>23349.750000000004</v>
      </c>
      <c r="BM31" s="42">
        <f t="shared" ref="BM31:BM50" si="175">AR31*C31*0.583</f>
        <v>41622.70199999999</v>
      </c>
      <c r="BN31" s="42">
        <f t="shared" ref="BN31:BN50" si="176">AS31*C31*0.75</f>
        <v>63080.999999999978</v>
      </c>
      <c r="BO31" s="42">
        <f t="shared" ref="BO31:BO50" si="177">AT31*C31*0.375</f>
        <v>23961.000000000004</v>
      </c>
      <c r="BP31" s="42">
        <f t="shared" ref="BP31:BP50" si="178">AU31*C31*0.583</f>
        <v>42572.991999999984</v>
      </c>
      <c r="BQ31" s="42">
        <f t="shared" ref="BQ31:BQ50" si="179">AV31*C31*0.75</f>
        <v>64303.499999999978</v>
      </c>
      <c r="BR31" s="42">
        <f t="shared" ref="BR31:BR50" si="180">AW31*C31*0.375</f>
        <v>24572.250000000004</v>
      </c>
      <c r="BS31" s="42">
        <f t="shared" ref="BS31:BS50" si="181">AX31*C31*0.583</f>
        <v>43523.281999999977</v>
      </c>
      <c r="BT31" s="47">
        <f t="shared" ref="BT31:BT50" si="182">AY31*C31*0.75</f>
        <v>65525.999999999971</v>
      </c>
      <c r="BU31" s="51">
        <f t="shared" ref="BU31:BU50" si="183">AE31*1500</f>
        <v>5130</v>
      </c>
      <c r="BV31" s="3">
        <f t="shared" ref="BV31:BV50" si="184">AF31*1500</f>
        <v>5970</v>
      </c>
      <c r="BW31" s="3">
        <f t="shared" ref="BW31:BW50" si="185">AG31*1500</f>
        <v>7140</v>
      </c>
      <c r="BX31" s="51">
        <f t="shared" ref="BX31:BX50" si="186">AH31*1500</f>
        <v>5280</v>
      </c>
      <c r="BY31" s="3">
        <f t="shared" ref="BY31:BY50" si="187">AI31*1500</f>
        <v>6120</v>
      </c>
      <c r="BZ31" s="3">
        <f t="shared" ref="BZ31:BZ50" si="188">AJ31*1500</f>
        <v>7289.9999999999991</v>
      </c>
      <c r="CA31" s="51">
        <f t="shared" ref="CA31:CA50" si="189">AK31*1500</f>
        <v>5430</v>
      </c>
      <c r="CB31" s="3">
        <f t="shared" ref="CB31:CB50" si="190">AL31*1500</f>
        <v>6270</v>
      </c>
      <c r="CC31" s="3">
        <f t="shared" ref="CC31:CC50" si="191">AM31*1500</f>
        <v>7439.9999999999982</v>
      </c>
      <c r="CD31" s="51">
        <f t="shared" ref="CD31:CD50" si="192">AN31*1500</f>
        <v>5580</v>
      </c>
      <c r="CE31" s="3">
        <f t="shared" ref="CE31:CE50" si="193">AO31*1500</f>
        <v>6419.9999999999991</v>
      </c>
      <c r="CF31" s="3">
        <f t="shared" ref="CF31:CF50" si="194">AP31*1500</f>
        <v>7589.9999999999982</v>
      </c>
      <c r="CG31" s="51">
        <f t="shared" ref="CG31:CG50" si="195">AQ31*1500</f>
        <v>5730</v>
      </c>
      <c r="CH31" s="3">
        <f t="shared" ref="CH31:CH50" si="196">AR31*1500</f>
        <v>6569.9999999999982</v>
      </c>
      <c r="CI31" s="3">
        <f t="shared" ref="CI31:CI50" si="197">AS31*1500</f>
        <v>7739.9999999999973</v>
      </c>
      <c r="CJ31" s="51">
        <f t="shared" ref="CJ31:CJ50" si="198">AT31*1500</f>
        <v>5880.0000000000009</v>
      </c>
      <c r="CK31" s="3">
        <f t="shared" ref="CK31:CK50" si="199">AU31*1500</f>
        <v>6719.9999999999982</v>
      </c>
      <c r="CL31" s="3">
        <f t="shared" ref="CL31:CL50" si="200">AV31*1500</f>
        <v>7889.9999999999973</v>
      </c>
      <c r="CM31" s="51">
        <f t="shared" ref="CM31:CM50" si="201">AW31*1500</f>
        <v>6030.0000000000009</v>
      </c>
      <c r="CN31" s="3">
        <f t="shared" ref="CN31:CN50" si="202">AX31*1500</f>
        <v>6869.9999999999973</v>
      </c>
      <c r="CO31" s="3">
        <f t="shared" ref="CO31:CO50" si="203">AY31*1500</f>
        <v>8039.9999999999964</v>
      </c>
      <c r="CP31" s="34">
        <v>4.28</v>
      </c>
      <c r="CQ31" s="60">
        <v>128400.00000000001</v>
      </c>
      <c r="CR31" s="51">
        <f t="shared" ref="CR31:CR50" si="204">(AZ31+BU31+CQ31)*3%</f>
        <v>4633.0424999999996</v>
      </c>
      <c r="CS31" s="3">
        <f t="shared" ref="CS31:CS50" si="205">(BA31+BV31+CQ31)*3%</f>
        <v>5165.7462599999999</v>
      </c>
      <c r="CT31" s="3">
        <f t="shared" ref="CT31:CT50" si="206">(BB31+BW31+CQ31)*3%</f>
        <v>5811.9299999999994</v>
      </c>
      <c r="CU31" s="51">
        <f t="shared" ref="CU31:CU50" si="207">(BC31+BX31+CQ31)*3%</f>
        <v>4655.88</v>
      </c>
      <c r="CV31" s="51">
        <f t="shared" ref="CV31:CV50" si="208">(BD31+BY31+CQ31)*3%</f>
        <v>5198.7549599999993</v>
      </c>
      <c r="CW31" s="3">
        <f t="shared" ref="CW31:CW50" si="209">(BE31+BZ31+CQ31)*3%</f>
        <v>5853.1049999999996</v>
      </c>
      <c r="CX31" s="51">
        <f t="shared" ref="CX31:CX50" si="210">(BF31+CA31+CQ31)*3%</f>
        <v>4678.7174999999997</v>
      </c>
      <c r="CY31" s="3">
        <f t="shared" ref="CY31:CY50" si="211">(BG31+CB31+CQ31)*3%</f>
        <v>5231.7636599999996</v>
      </c>
      <c r="CZ31" s="3">
        <f t="shared" ref="CZ31:CZ50" si="212">(BH31+CC31+CQ31)*3%</f>
        <v>5894.28</v>
      </c>
      <c r="DA31" s="51">
        <f t="shared" ref="DA31:DA50" si="213">(BI31+CD31+CQ31)*3%</f>
        <v>4701.5549999999994</v>
      </c>
      <c r="DB31" s="3">
        <f t="shared" ref="DB31:DB50" si="214">(BJ31+CE31+CQ31)*3%</f>
        <v>5264.7723599999999</v>
      </c>
      <c r="DC31" s="3">
        <f t="shared" ref="DC31:DC50" si="215">(BK31+CF31+CQ31)*3%</f>
        <v>5935.4549999999999</v>
      </c>
      <c r="DD31" s="51">
        <f t="shared" ref="DD31:DD50" si="216">(BL31+CG31+CQ31)*3%</f>
        <v>4724.3925000000008</v>
      </c>
      <c r="DE31" s="3">
        <f t="shared" ref="DE31:DE50" si="217">(BM31+CH31+CQ31)*3%</f>
        <v>5297.7810599999993</v>
      </c>
      <c r="DF31" s="3">
        <f t="shared" ref="DF31:DF50" si="218">(BN31+CI31+CQ31)*3%</f>
        <v>5976.63</v>
      </c>
      <c r="DG31" s="51">
        <f t="shared" ref="DG31:DG50" si="219">(BO31+CJ31+CQ31)*3%</f>
        <v>4747.2300000000005</v>
      </c>
      <c r="DH31" s="3">
        <f t="shared" ref="DH31:DH50" si="220">(BP31+CK31+CQ31)*3%</f>
        <v>5330.7897599999997</v>
      </c>
      <c r="DI31" s="3">
        <f t="shared" ref="DI31:DI50" si="221">(BQ31+CL31+CQ31)*3%</f>
        <v>6017.8049999999994</v>
      </c>
      <c r="DJ31" s="51">
        <f t="shared" ref="DJ31:DJ50" si="222">(BR31+CM31+CQ31)*3%</f>
        <v>4770.067500000001</v>
      </c>
      <c r="DK31" s="3">
        <f t="shared" ref="DK31:DK50" si="223">(BS31+CN31+CQ31)*3%</f>
        <v>5363.79846</v>
      </c>
      <c r="DL31" s="3">
        <f t="shared" ref="DL31:DL50" si="224">(BT31+CO31+CQ31)*3%</f>
        <v>6058.98</v>
      </c>
      <c r="DM31" s="51">
        <f t="shared" ref="DM31:DM50" si="225">AZ31+BU31+CQ31+CR31</f>
        <v>159067.79250000001</v>
      </c>
      <c r="DN31" s="3">
        <f t="shared" ref="DN31:DN50" si="226">BA31+BV31+CQ31+CS31</f>
        <v>177357.28826</v>
      </c>
      <c r="DO31" s="3">
        <f t="shared" ref="DO31:DO50" si="227">BB31+BW31+CQ31+CT31</f>
        <v>199542.93</v>
      </c>
      <c r="DP31" s="51">
        <f t="shared" ref="DP31:DP50" si="228">BC31+BX31+CQ31+CU31</f>
        <v>159851.88</v>
      </c>
      <c r="DQ31" s="51">
        <f t="shared" ref="DQ31:DQ50" si="229">BD31+BY31+CQ31+CV31</f>
        <v>178490.58695999999</v>
      </c>
      <c r="DR31" s="3">
        <f t="shared" ref="DR31:DR50" si="230">BE31+BZ31+CQ31+CW31</f>
        <v>200956.60500000001</v>
      </c>
      <c r="DS31" s="51">
        <f t="shared" ref="DS31:DS50" si="231">BF31+CA31+CQ31+CX31</f>
        <v>160635.9675</v>
      </c>
      <c r="DT31" s="3">
        <f t="shared" ref="DT31:DT50" si="232">BG31+CB31+CQ31+CY31</f>
        <v>179623.88566</v>
      </c>
      <c r="DU31" s="3">
        <f t="shared" ref="DU31:DU50" si="233">BH31+CC31+CQ31+CZ31</f>
        <v>202370.28</v>
      </c>
      <c r="DV31" s="51">
        <f t="shared" ref="DV31:DV50" si="234">BI31+CD31+CQ31+DA31</f>
        <v>161420.05499999999</v>
      </c>
      <c r="DW31" s="3">
        <f t="shared" ref="DW31:DW50" si="235">BJ31+CE31+CQ31+DB31</f>
        <v>180757.18436000001</v>
      </c>
      <c r="DX31" s="3">
        <f t="shared" ref="DX31:DX50" si="236">BK31+CF31+CQ31+DC31</f>
        <v>203783.95499999999</v>
      </c>
      <c r="DY31" s="51">
        <f t="shared" ref="DY31:DY50" si="237">BL31+CG31+CQ31+DD31</f>
        <v>162204.14250000002</v>
      </c>
      <c r="DZ31" s="3">
        <f t="shared" ref="DZ31:DZ50" si="238">BM31+CH31+CQ31+DE31</f>
        <v>181890.48306</v>
      </c>
      <c r="EA31" s="3">
        <f t="shared" ref="EA31:EA50" si="239">BN31+CI31+CQ31+DF31</f>
        <v>205197.63</v>
      </c>
      <c r="EB31" s="51">
        <f t="shared" ref="EB31:EB50" si="240">BO31+CJ31+CQ31+DG31</f>
        <v>162988.23000000004</v>
      </c>
      <c r="EC31" s="3">
        <f t="shared" ref="EC31:EC50" si="241">BP31+CK31+CQ31+DH31</f>
        <v>183023.78175999998</v>
      </c>
      <c r="ED31" s="3">
        <f t="shared" ref="ED31:ED50" si="242">BQ31+CL31+CQ31+DI31</f>
        <v>206611.30499999999</v>
      </c>
      <c r="EE31" s="51">
        <f t="shared" ref="EE31:EE50" si="243">BR31+CM31+CQ31+DJ31</f>
        <v>163772.31750000003</v>
      </c>
      <c r="EF31" s="3">
        <f t="shared" ref="EF31:EF50" si="244">BS31+CN31+CQ31+DK31</f>
        <v>184157.08046</v>
      </c>
      <c r="EG31" s="3">
        <f t="shared" ref="EG31:EG50" si="245">BT31+CO31+CQ31+DL31</f>
        <v>208024.98</v>
      </c>
    </row>
    <row r="32" spans="1:137" ht="18.75" x14ac:dyDescent="0.25">
      <c r="A32" s="2" t="s">
        <v>6</v>
      </c>
      <c r="B32" s="2" t="s">
        <v>143</v>
      </c>
      <c r="C32" s="2">
        <f>I1</f>
        <v>16300</v>
      </c>
      <c r="D32" s="2">
        <v>1.49</v>
      </c>
      <c r="E32" s="2">
        <v>1.73</v>
      </c>
      <c r="F32" s="2">
        <v>2.06</v>
      </c>
      <c r="G32" s="4">
        <v>1.44</v>
      </c>
      <c r="H32" s="4">
        <v>1.68</v>
      </c>
      <c r="I32" s="89">
        <v>2.0099999999999998</v>
      </c>
      <c r="J32" s="97">
        <v>1.49</v>
      </c>
      <c r="K32" s="2">
        <v>1.73</v>
      </c>
      <c r="L32" s="98">
        <v>2.06</v>
      </c>
      <c r="M32" s="97">
        <f t="shared" si="126"/>
        <v>1.59</v>
      </c>
      <c r="N32" s="2">
        <f t="shared" si="127"/>
        <v>1.83</v>
      </c>
      <c r="O32" s="98">
        <f t="shared" si="128"/>
        <v>2.16</v>
      </c>
      <c r="P32" s="97">
        <f t="shared" si="129"/>
        <v>1.6900000000000002</v>
      </c>
      <c r="Q32" s="2">
        <f t="shared" si="130"/>
        <v>1.9300000000000002</v>
      </c>
      <c r="R32" s="98">
        <f t="shared" si="131"/>
        <v>2.2600000000000002</v>
      </c>
      <c r="S32" s="97">
        <f t="shared" si="132"/>
        <v>1.7900000000000003</v>
      </c>
      <c r="T32" s="2">
        <f t="shared" si="133"/>
        <v>2.0300000000000002</v>
      </c>
      <c r="U32" s="98">
        <f t="shared" si="134"/>
        <v>2.3600000000000003</v>
      </c>
      <c r="V32" s="97">
        <f t="shared" si="135"/>
        <v>1.8900000000000003</v>
      </c>
      <c r="W32" s="2">
        <f t="shared" si="136"/>
        <v>2.1300000000000003</v>
      </c>
      <c r="X32" s="98">
        <f t="shared" si="137"/>
        <v>2.4600000000000004</v>
      </c>
      <c r="Y32" s="97">
        <f t="shared" si="138"/>
        <v>1.9900000000000004</v>
      </c>
      <c r="Z32" s="2">
        <f t="shared" si="139"/>
        <v>2.2300000000000004</v>
      </c>
      <c r="AA32" s="98">
        <f t="shared" si="140"/>
        <v>2.5600000000000005</v>
      </c>
      <c r="AB32" s="97">
        <f t="shared" si="141"/>
        <v>2.0900000000000003</v>
      </c>
      <c r="AC32" s="2">
        <f t="shared" si="142"/>
        <v>2.3300000000000005</v>
      </c>
      <c r="AD32" s="98">
        <f t="shared" si="143"/>
        <v>2.6600000000000006</v>
      </c>
      <c r="AE32" s="52">
        <v>1.44</v>
      </c>
      <c r="AF32" s="4">
        <v>1.68</v>
      </c>
      <c r="AG32" s="4">
        <v>2.0099999999999998</v>
      </c>
      <c r="AH32" s="41">
        <f t="shared" si="144"/>
        <v>1.54</v>
      </c>
      <c r="AI32" s="41">
        <f t="shared" si="145"/>
        <v>1.78</v>
      </c>
      <c r="AJ32" s="41">
        <f t="shared" si="146"/>
        <v>2.11</v>
      </c>
      <c r="AK32" s="41">
        <f t="shared" si="147"/>
        <v>1.6400000000000001</v>
      </c>
      <c r="AL32" s="42">
        <f t="shared" si="148"/>
        <v>1.8800000000000001</v>
      </c>
      <c r="AM32" s="42">
        <f t="shared" si="149"/>
        <v>2.21</v>
      </c>
      <c r="AN32" s="42">
        <f t="shared" si="150"/>
        <v>1.7400000000000002</v>
      </c>
      <c r="AO32" s="42">
        <f t="shared" si="151"/>
        <v>1.9800000000000002</v>
      </c>
      <c r="AP32" s="42">
        <f t="shared" si="152"/>
        <v>2.31</v>
      </c>
      <c r="AQ32" s="42">
        <f t="shared" si="153"/>
        <v>1.8400000000000003</v>
      </c>
      <c r="AR32" s="42">
        <f t="shared" si="154"/>
        <v>2.08</v>
      </c>
      <c r="AS32" s="42">
        <f t="shared" si="155"/>
        <v>2.41</v>
      </c>
      <c r="AT32" s="42">
        <f t="shared" si="156"/>
        <v>1.9400000000000004</v>
      </c>
      <c r="AU32" s="42">
        <f t="shared" si="157"/>
        <v>2.1800000000000002</v>
      </c>
      <c r="AV32" s="42">
        <f t="shared" si="158"/>
        <v>2.5100000000000002</v>
      </c>
      <c r="AW32" s="42">
        <f t="shared" si="159"/>
        <v>2.0400000000000005</v>
      </c>
      <c r="AX32" s="42">
        <f t="shared" si="160"/>
        <v>2.2800000000000002</v>
      </c>
      <c r="AY32" s="47">
        <f t="shared" si="161"/>
        <v>2.6100000000000003</v>
      </c>
      <c r="AZ32" s="51">
        <f t="shared" si="162"/>
        <v>8802</v>
      </c>
      <c r="BA32" s="3">
        <f t="shared" si="163"/>
        <v>15964.871999999999</v>
      </c>
      <c r="BB32" s="3">
        <f t="shared" si="164"/>
        <v>24572.249999999996</v>
      </c>
      <c r="BC32" s="41">
        <f t="shared" si="165"/>
        <v>9413.25</v>
      </c>
      <c r="BD32" s="41">
        <f t="shared" si="166"/>
        <v>16915.162</v>
      </c>
      <c r="BE32" s="41">
        <f t="shared" si="167"/>
        <v>25794.75</v>
      </c>
      <c r="BF32" s="41">
        <f t="shared" si="168"/>
        <v>10024.500000000002</v>
      </c>
      <c r="BG32" s="42">
        <f t="shared" si="169"/>
        <v>17865.452000000001</v>
      </c>
      <c r="BH32" s="42">
        <f t="shared" si="170"/>
        <v>27017.25</v>
      </c>
      <c r="BI32" s="42">
        <f t="shared" si="171"/>
        <v>10635.750000000002</v>
      </c>
      <c r="BJ32" s="42">
        <f t="shared" si="172"/>
        <v>18815.742000000002</v>
      </c>
      <c r="BK32" s="42">
        <f t="shared" si="173"/>
        <v>28239.75</v>
      </c>
      <c r="BL32" s="42">
        <f t="shared" si="174"/>
        <v>11247.000000000002</v>
      </c>
      <c r="BM32" s="42">
        <f t="shared" si="175"/>
        <v>19766.031999999999</v>
      </c>
      <c r="BN32" s="42">
        <f t="shared" si="176"/>
        <v>29462.25</v>
      </c>
      <c r="BO32" s="42">
        <f t="shared" si="177"/>
        <v>11858.250000000004</v>
      </c>
      <c r="BP32" s="42">
        <f t="shared" si="178"/>
        <v>20716.322</v>
      </c>
      <c r="BQ32" s="42">
        <f t="shared" si="179"/>
        <v>30684.750000000007</v>
      </c>
      <c r="BR32" s="42">
        <f t="shared" si="180"/>
        <v>12469.500000000004</v>
      </c>
      <c r="BS32" s="42">
        <f t="shared" si="181"/>
        <v>21666.612000000005</v>
      </c>
      <c r="BT32" s="47">
        <f t="shared" si="182"/>
        <v>31907.250000000007</v>
      </c>
      <c r="BU32" s="51">
        <f t="shared" si="183"/>
        <v>2160</v>
      </c>
      <c r="BV32" s="3">
        <f t="shared" si="184"/>
        <v>2520</v>
      </c>
      <c r="BW32" s="3">
        <f t="shared" si="185"/>
        <v>3014.9999999999995</v>
      </c>
      <c r="BX32" s="51">
        <f t="shared" si="186"/>
        <v>2310</v>
      </c>
      <c r="BY32" s="3">
        <f t="shared" si="187"/>
        <v>2670</v>
      </c>
      <c r="BZ32" s="3">
        <f t="shared" si="188"/>
        <v>3165</v>
      </c>
      <c r="CA32" s="51">
        <f t="shared" si="189"/>
        <v>2460</v>
      </c>
      <c r="CB32" s="3">
        <f t="shared" si="190"/>
        <v>2820</v>
      </c>
      <c r="CC32" s="3">
        <f t="shared" si="191"/>
        <v>3315</v>
      </c>
      <c r="CD32" s="51">
        <f t="shared" si="192"/>
        <v>2610.0000000000005</v>
      </c>
      <c r="CE32" s="3">
        <f t="shared" si="193"/>
        <v>2970.0000000000005</v>
      </c>
      <c r="CF32" s="3">
        <f t="shared" si="194"/>
        <v>3465</v>
      </c>
      <c r="CG32" s="51">
        <f t="shared" si="195"/>
        <v>2760.0000000000005</v>
      </c>
      <c r="CH32" s="3">
        <f t="shared" si="196"/>
        <v>3120</v>
      </c>
      <c r="CI32" s="3">
        <f t="shared" si="197"/>
        <v>3615</v>
      </c>
      <c r="CJ32" s="51">
        <f t="shared" si="198"/>
        <v>2910.0000000000005</v>
      </c>
      <c r="CK32" s="3">
        <f t="shared" si="199"/>
        <v>3270.0000000000005</v>
      </c>
      <c r="CL32" s="3">
        <f t="shared" si="200"/>
        <v>3765.0000000000005</v>
      </c>
      <c r="CM32" s="51">
        <f t="shared" si="201"/>
        <v>3060.0000000000009</v>
      </c>
      <c r="CN32" s="3">
        <f t="shared" si="202"/>
        <v>3420.0000000000005</v>
      </c>
      <c r="CO32" s="3">
        <f t="shared" si="203"/>
        <v>3915.0000000000005</v>
      </c>
      <c r="CP32" s="34">
        <v>0.20300000000000001</v>
      </c>
      <c r="CQ32" s="60">
        <v>5481</v>
      </c>
      <c r="CR32" s="51">
        <f t="shared" si="204"/>
        <v>493.28999999999996</v>
      </c>
      <c r="CS32" s="3">
        <f t="shared" si="205"/>
        <v>718.97615999999994</v>
      </c>
      <c r="CT32" s="3">
        <f t="shared" si="206"/>
        <v>992.04750000000001</v>
      </c>
      <c r="CU32" s="51">
        <f t="shared" si="207"/>
        <v>516.12749999999994</v>
      </c>
      <c r="CV32" s="51">
        <f t="shared" si="208"/>
        <v>751.98486000000003</v>
      </c>
      <c r="CW32" s="3">
        <f t="shared" si="209"/>
        <v>1033.2224999999999</v>
      </c>
      <c r="CX32" s="51">
        <f t="shared" si="210"/>
        <v>538.96500000000003</v>
      </c>
      <c r="CY32" s="3">
        <f t="shared" si="211"/>
        <v>784.99356</v>
      </c>
      <c r="CZ32" s="3">
        <f t="shared" si="212"/>
        <v>1074.3975</v>
      </c>
      <c r="DA32" s="51">
        <f t="shared" si="213"/>
        <v>561.80250000000001</v>
      </c>
      <c r="DB32" s="3">
        <f t="shared" si="214"/>
        <v>818.00225999999998</v>
      </c>
      <c r="DC32" s="3">
        <f t="shared" si="215"/>
        <v>1115.5725</v>
      </c>
      <c r="DD32" s="51">
        <f t="shared" si="216"/>
        <v>584.64</v>
      </c>
      <c r="DE32" s="3">
        <f t="shared" si="217"/>
        <v>851.01095999999995</v>
      </c>
      <c r="DF32" s="3">
        <f t="shared" si="218"/>
        <v>1156.7474999999999</v>
      </c>
      <c r="DG32" s="51">
        <f t="shared" si="219"/>
        <v>607.47750000000008</v>
      </c>
      <c r="DH32" s="3">
        <f t="shared" si="220"/>
        <v>884.01965999999993</v>
      </c>
      <c r="DI32" s="3">
        <f t="shared" si="221"/>
        <v>1197.9225000000001</v>
      </c>
      <c r="DJ32" s="51">
        <f t="shared" si="222"/>
        <v>630.31500000000005</v>
      </c>
      <c r="DK32" s="3">
        <f t="shared" si="223"/>
        <v>917.02836000000013</v>
      </c>
      <c r="DL32" s="3">
        <f t="shared" si="224"/>
        <v>1239.0975000000001</v>
      </c>
      <c r="DM32" s="51">
        <f t="shared" si="225"/>
        <v>16936.29</v>
      </c>
      <c r="DN32" s="3">
        <f t="shared" si="226"/>
        <v>24684.848159999998</v>
      </c>
      <c r="DO32" s="3">
        <f t="shared" si="227"/>
        <v>34060.297500000001</v>
      </c>
      <c r="DP32" s="51">
        <f t="shared" si="228"/>
        <v>17720.377499999999</v>
      </c>
      <c r="DQ32" s="51">
        <f t="shared" si="229"/>
        <v>25818.146860000001</v>
      </c>
      <c r="DR32" s="3">
        <f t="shared" si="230"/>
        <v>35473.972500000003</v>
      </c>
      <c r="DS32" s="51">
        <f t="shared" si="231"/>
        <v>18504.465</v>
      </c>
      <c r="DT32" s="3">
        <f t="shared" si="232"/>
        <v>26951.44556</v>
      </c>
      <c r="DU32" s="3">
        <f t="shared" si="233"/>
        <v>36887.647499999999</v>
      </c>
      <c r="DV32" s="51">
        <f t="shared" si="234"/>
        <v>19288.552500000002</v>
      </c>
      <c r="DW32" s="3">
        <f t="shared" si="235"/>
        <v>28084.744260000003</v>
      </c>
      <c r="DX32" s="3">
        <f t="shared" si="236"/>
        <v>38301.322500000002</v>
      </c>
      <c r="DY32" s="51">
        <f t="shared" si="237"/>
        <v>20072.64</v>
      </c>
      <c r="DZ32" s="3">
        <f t="shared" si="238"/>
        <v>29218.042959999999</v>
      </c>
      <c r="EA32" s="3">
        <f t="shared" si="239"/>
        <v>39714.997499999998</v>
      </c>
      <c r="EB32" s="51">
        <f t="shared" si="240"/>
        <v>20856.727500000005</v>
      </c>
      <c r="EC32" s="3">
        <f t="shared" si="241"/>
        <v>30351.341659999998</v>
      </c>
      <c r="ED32" s="3">
        <f t="shared" si="242"/>
        <v>41128.672500000008</v>
      </c>
      <c r="EE32" s="51">
        <f t="shared" si="243"/>
        <v>21640.815000000002</v>
      </c>
      <c r="EF32" s="3">
        <f t="shared" si="244"/>
        <v>31484.640360000005</v>
      </c>
      <c r="EG32" s="3">
        <f t="shared" si="245"/>
        <v>42542.347500000011</v>
      </c>
    </row>
    <row r="33" spans="1:137" ht="18.75" x14ac:dyDescent="0.25">
      <c r="A33" s="2" t="s">
        <v>6</v>
      </c>
      <c r="B33" s="2" t="s">
        <v>146</v>
      </c>
      <c r="C33" s="2">
        <f>I1</f>
        <v>16300</v>
      </c>
      <c r="D33" s="2">
        <v>1.782</v>
      </c>
      <c r="E33" s="2">
        <v>2.0619999999999998</v>
      </c>
      <c r="F33" s="2">
        <v>2.4420000000000002</v>
      </c>
      <c r="G33" s="4">
        <v>1.69</v>
      </c>
      <c r="H33" s="4">
        <v>1.97</v>
      </c>
      <c r="I33" s="89">
        <v>2.35</v>
      </c>
      <c r="J33" s="97">
        <v>1.782</v>
      </c>
      <c r="K33" s="2">
        <v>2.0619999999999998</v>
      </c>
      <c r="L33" s="98">
        <v>2.4420000000000002</v>
      </c>
      <c r="M33" s="97">
        <f t="shared" si="126"/>
        <v>1.8820000000000001</v>
      </c>
      <c r="N33" s="2">
        <f t="shared" si="127"/>
        <v>2.1619999999999999</v>
      </c>
      <c r="O33" s="98">
        <f t="shared" si="128"/>
        <v>2.5420000000000003</v>
      </c>
      <c r="P33" s="97">
        <f t="shared" si="129"/>
        <v>1.9820000000000002</v>
      </c>
      <c r="Q33" s="2">
        <f t="shared" si="130"/>
        <v>2.262</v>
      </c>
      <c r="R33" s="98">
        <f t="shared" si="131"/>
        <v>2.6420000000000003</v>
      </c>
      <c r="S33" s="97">
        <f t="shared" si="132"/>
        <v>2.0820000000000003</v>
      </c>
      <c r="T33" s="2">
        <f t="shared" si="133"/>
        <v>2.3620000000000001</v>
      </c>
      <c r="U33" s="98">
        <f t="shared" si="134"/>
        <v>2.7420000000000004</v>
      </c>
      <c r="V33" s="97">
        <f t="shared" si="135"/>
        <v>2.1820000000000004</v>
      </c>
      <c r="W33" s="2">
        <f t="shared" si="136"/>
        <v>2.4620000000000002</v>
      </c>
      <c r="X33" s="98">
        <f t="shared" si="137"/>
        <v>2.8420000000000005</v>
      </c>
      <c r="Y33" s="97">
        <f t="shared" si="138"/>
        <v>2.2820000000000005</v>
      </c>
      <c r="Z33" s="2">
        <f t="shared" si="139"/>
        <v>2.5620000000000003</v>
      </c>
      <c r="AA33" s="98">
        <f t="shared" si="140"/>
        <v>2.9420000000000006</v>
      </c>
      <c r="AB33" s="97">
        <f t="shared" si="141"/>
        <v>2.3820000000000006</v>
      </c>
      <c r="AC33" s="2">
        <f t="shared" si="142"/>
        <v>2.6620000000000004</v>
      </c>
      <c r="AD33" s="98">
        <f t="shared" si="143"/>
        <v>3.0420000000000007</v>
      </c>
      <c r="AE33" s="52">
        <v>1.69</v>
      </c>
      <c r="AF33" s="4">
        <v>1.97</v>
      </c>
      <c r="AG33" s="4">
        <v>2.35</v>
      </c>
      <c r="AH33" s="41">
        <f t="shared" si="144"/>
        <v>1.79</v>
      </c>
      <c r="AI33" s="41">
        <f t="shared" si="145"/>
        <v>2.0699999999999998</v>
      </c>
      <c r="AJ33" s="41">
        <f t="shared" si="146"/>
        <v>2.4500000000000002</v>
      </c>
      <c r="AK33" s="41">
        <f t="shared" si="147"/>
        <v>1.8900000000000001</v>
      </c>
      <c r="AL33" s="42">
        <f t="shared" si="148"/>
        <v>2.17</v>
      </c>
      <c r="AM33" s="42">
        <f t="shared" si="149"/>
        <v>2.5500000000000003</v>
      </c>
      <c r="AN33" s="42">
        <f t="shared" si="150"/>
        <v>1.9900000000000002</v>
      </c>
      <c r="AO33" s="42">
        <f t="shared" si="151"/>
        <v>2.27</v>
      </c>
      <c r="AP33" s="42">
        <f t="shared" si="152"/>
        <v>2.6500000000000004</v>
      </c>
      <c r="AQ33" s="42">
        <f t="shared" si="153"/>
        <v>2.0900000000000003</v>
      </c>
      <c r="AR33" s="42">
        <f t="shared" si="154"/>
        <v>2.37</v>
      </c>
      <c r="AS33" s="42">
        <f t="shared" si="155"/>
        <v>2.7500000000000004</v>
      </c>
      <c r="AT33" s="42">
        <f t="shared" si="156"/>
        <v>2.1900000000000004</v>
      </c>
      <c r="AU33" s="42">
        <f t="shared" si="157"/>
        <v>2.4700000000000002</v>
      </c>
      <c r="AV33" s="42">
        <f t="shared" si="158"/>
        <v>2.8500000000000005</v>
      </c>
      <c r="AW33" s="42">
        <f t="shared" si="159"/>
        <v>2.2900000000000005</v>
      </c>
      <c r="AX33" s="42">
        <f t="shared" si="160"/>
        <v>2.5700000000000003</v>
      </c>
      <c r="AY33" s="47">
        <f t="shared" si="161"/>
        <v>2.9500000000000006</v>
      </c>
      <c r="AZ33" s="51">
        <f t="shared" si="162"/>
        <v>10330.125</v>
      </c>
      <c r="BA33" s="3">
        <f t="shared" si="163"/>
        <v>18720.713</v>
      </c>
      <c r="BB33" s="3">
        <f t="shared" si="164"/>
        <v>28728.75</v>
      </c>
      <c r="BC33" s="41">
        <f t="shared" si="165"/>
        <v>10941.375</v>
      </c>
      <c r="BD33" s="41">
        <f t="shared" si="166"/>
        <v>19671.002999999997</v>
      </c>
      <c r="BE33" s="41">
        <f t="shared" si="167"/>
        <v>29951.25</v>
      </c>
      <c r="BF33" s="41">
        <f t="shared" si="168"/>
        <v>11552.625000000002</v>
      </c>
      <c r="BG33" s="42">
        <f t="shared" si="169"/>
        <v>20621.292999999998</v>
      </c>
      <c r="BH33" s="42">
        <f t="shared" si="170"/>
        <v>31173.750000000007</v>
      </c>
      <c r="BI33" s="42">
        <f t="shared" si="171"/>
        <v>12163.875000000002</v>
      </c>
      <c r="BJ33" s="42">
        <f t="shared" si="172"/>
        <v>21571.582999999999</v>
      </c>
      <c r="BK33" s="42">
        <f t="shared" si="173"/>
        <v>32396.250000000007</v>
      </c>
      <c r="BL33" s="42">
        <f t="shared" si="174"/>
        <v>12775.125000000004</v>
      </c>
      <c r="BM33" s="42">
        <f t="shared" si="175"/>
        <v>22521.873</v>
      </c>
      <c r="BN33" s="42">
        <f t="shared" si="176"/>
        <v>33618.750000000007</v>
      </c>
      <c r="BO33" s="42">
        <f t="shared" si="177"/>
        <v>13386.375000000004</v>
      </c>
      <c r="BP33" s="42">
        <f t="shared" si="178"/>
        <v>23472.162999999997</v>
      </c>
      <c r="BQ33" s="42">
        <f t="shared" si="179"/>
        <v>34841.250000000007</v>
      </c>
      <c r="BR33" s="42">
        <f t="shared" si="180"/>
        <v>13997.625000000004</v>
      </c>
      <c r="BS33" s="42">
        <f t="shared" si="181"/>
        <v>24422.453000000001</v>
      </c>
      <c r="BT33" s="47">
        <f t="shared" si="182"/>
        <v>36063.750000000007</v>
      </c>
      <c r="BU33" s="51">
        <f t="shared" si="183"/>
        <v>2535</v>
      </c>
      <c r="BV33" s="3">
        <f t="shared" si="184"/>
        <v>2955</v>
      </c>
      <c r="BW33" s="3">
        <f t="shared" si="185"/>
        <v>3525</v>
      </c>
      <c r="BX33" s="51">
        <f t="shared" si="186"/>
        <v>2685</v>
      </c>
      <c r="BY33" s="3">
        <f t="shared" si="187"/>
        <v>3104.9999999999995</v>
      </c>
      <c r="BZ33" s="3">
        <f t="shared" si="188"/>
        <v>3675.0000000000005</v>
      </c>
      <c r="CA33" s="51">
        <f t="shared" si="189"/>
        <v>2835</v>
      </c>
      <c r="CB33" s="3">
        <f t="shared" si="190"/>
        <v>3255</v>
      </c>
      <c r="CC33" s="3">
        <f t="shared" si="191"/>
        <v>3825.0000000000005</v>
      </c>
      <c r="CD33" s="51">
        <f t="shared" si="192"/>
        <v>2985.0000000000005</v>
      </c>
      <c r="CE33" s="3">
        <f t="shared" si="193"/>
        <v>3405</v>
      </c>
      <c r="CF33" s="3">
        <f t="shared" si="194"/>
        <v>3975.0000000000005</v>
      </c>
      <c r="CG33" s="51">
        <f t="shared" si="195"/>
        <v>3135.0000000000005</v>
      </c>
      <c r="CH33" s="3">
        <f t="shared" si="196"/>
        <v>3555</v>
      </c>
      <c r="CI33" s="3">
        <f t="shared" si="197"/>
        <v>4125.0000000000009</v>
      </c>
      <c r="CJ33" s="51">
        <f t="shared" si="198"/>
        <v>3285.0000000000005</v>
      </c>
      <c r="CK33" s="3">
        <f t="shared" si="199"/>
        <v>3705.0000000000005</v>
      </c>
      <c r="CL33" s="3">
        <f t="shared" si="200"/>
        <v>4275.0000000000009</v>
      </c>
      <c r="CM33" s="51">
        <f t="shared" si="201"/>
        <v>3435.0000000000009</v>
      </c>
      <c r="CN33" s="3">
        <f t="shared" si="202"/>
        <v>3855.0000000000005</v>
      </c>
      <c r="CO33" s="3">
        <f t="shared" si="203"/>
        <v>4425.0000000000009</v>
      </c>
      <c r="CP33" s="34">
        <v>0.45999999999999996</v>
      </c>
      <c r="CQ33" s="60">
        <v>13350</v>
      </c>
      <c r="CR33" s="51">
        <f t="shared" si="204"/>
        <v>786.45375000000001</v>
      </c>
      <c r="CS33" s="3">
        <f t="shared" si="205"/>
        <v>1050.7713900000001</v>
      </c>
      <c r="CT33" s="3">
        <f t="shared" si="206"/>
        <v>1368.1125</v>
      </c>
      <c r="CU33" s="51">
        <f t="shared" si="207"/>
        <v>809.29124999999999</v>
      </c>
      <c r="CV33" s="51">
        <f t="shared" si="208"/>
        <v>1083.78009</v>
      </c>
      <c r="CW33" s="3">
        <f t="shared" si="209"/>
        <v>1409.2874999999999</v>
      </c>
      <c r="CX33" s="51">
        <f t="shared" si="210"/>
        <v>832.12874999999997</v>
      </c>
      <c r="CY33" s="3">
        <f t="shared" si="211"/>
        <v>1116.7887899999998</v>
      </c>
      <c r="CZ33" s="3">
        <f t="shared" si="212"/>
        <v>1450.4625000000001</v>
      </c>
      <c r="DA33" s="51">
        <f t="shared" si="213"/>
        <v>854.96624999999995</v>
      </c>
      <c r="DB33" s="3">
        <f t="shared" si="214"/>
        <v>1149.7974899999999</v>
      </c>
      <c r="DC33" s="3">
        <f t="shared" si="215"/>
        <v>1491.6375000000003</v>
      </c>
      <c r="DD33" s="51">
        <f t="shared" si="216"/>
        <v>877.80375000000004</v>
      </c>
      <c r="DE33" s="3">
        <f t="shared" si="217"/>
        <v>1182.80619</v>
      </c>
      <c r="DF33" s="3">
        <f t="shared" si="218"/>
        <v>1532.8125000000002</v>
      </c>
      <c r="DG33" s="51">
        <f t="shared" si="219"/>
        <v>900.64125000000013</v>
      </c>
      <c r="DH33" s="3">
        <f t="shared" si="220"/>
        <v>1215.8148899999999</v>
      </c>
      <c r="DI33" s="3">
        <f t="shared" si="221"/>
        <v>1573.9875000000002</v>
      </c>
      <c r="DJ33" s="51">
        <f t="shared" si="222"/>
        <v>923.4787500000001</v>
      </c>
      <c r="DK33" s="3">
        <f t="shared" si="223"/>
        <v>1248.82359</v>
      </c>
      <c r="DL33" s="3">
        <f t="shared" si="224"/>
        <v>1615.1625000000001</v>
      </c>
      <c r="DM33" s="51">
        <f t="shared" si="225"/>
        <v>27001.578750000001</v>
      </c>
      <c r="DN33" s="3">
        <f t="shared" si="226"/>
        <v>36076.484390000005</v>
      </c>
      <c r="DO33" s="3">
        <f t="shared" si="227"/>
        <v>46971.862500000003</v>
      </c>
      <c r="DP33" s="51">
        <f t="shared" si="228"/>
        <v>27785.666249999998</v>
      </c>
      <c r="DQ33" s="51">
        <f t="shared" si="229"/>
        <v>37209.783089999997</v>
      </c>
      <c r="DR33" s="3">
        <f t="shared" si="230"/>
        <v>48385.537499999999</v>
      </c>
      <c r="DS33" s="51">
        <f t="shared" si="231"/>
        <v>28569.75375</v>
      </c>
      <c r="DT33" s="3">
        <f t="shared" si="232"/>
        <v>38343.081789999997</v>
      </c>
      <c r="DU33" s="3">
        <f t="shared" si="233"/>
        <v>49799.212500000009</v>
      </c>
      <c r="DV33" s="51">
        <f t="shared" si="234"/>
        <v>29353.841250000001</v>
      </c>
      <c r="DW33" s="3">
        <f t="shared" si="235"/>
        <v>39476.380489999996</v>
      </c>
      <c r="DX33" s="3">
        <f t="shared" si="236"/>
        <v>51212.887500000004</v>
      </c>
      <c r="DY33" s="51">
        <f t="shared" si="237"/>
        <v>30137.928750000003</v>
      </c>
      <c r="DZ33" s="3">
        <f t="shared" si="238"/>
        <v>40609.679190000003</v>
      </c>
      <c r="EA33" s="3">
        <f t="shared" si="239"/>
        <v>52626.562500000007</v>
      </c>
      <c r="EB33" s="51">
        <f t="shared" si="240"/>
        <v>30922.016250000004</v>
      </c>
      <c r="EC33" s="3">
        <f t="shared" si="241"/>
        <v>41742.977890000002</v>
      </c>
      <c r="ED33" s="3">
        <f t="shared" si="242"/>
        <v>54040.23750000001</v>
      </c>
      <c r="EE33" s="51">
        <f t="shared" si="243"/>
        <v>31706.103750000002</v>
      </c>
      <c r="EF33" s="3">
        <f t="shared" si="244"/>
        <v>42876.276590000001</v>
      </c>
      <c r="EG33" s="3">
        <f t="shared" si="245"/>
        <v>55453.912500000006</v>
      </c>
    </row>
    <row r="34" spans="1:137" ht="18.75" x14ac:dyDescent="0.25">
      <c r="A34" s="2" t="s">
        <v>6</v>
      </c>
      <c r="B34" s="2" t="s">
        <v>149</v>
      </c>
      <c r="C34" s="2">
        <f>I1</f>
        <v>16300</v>
      </c>
      <c r="D34" s="2">
        <v>1.7190000000000001</v>
      </c>
      <c r="E34" s="2">
        <v>1.9990000000000001</v>
      </c>
      <c r="F34" s="2">
        <v>2.379</v>
      </c>
      <c r="G34" s="4">
        <v>1.69</v>
      </c>
      <c r="H34" s="4">
        <v>1.97</v>
      </c>
      <c r="I34" s="89">
        <v>2.35</v>
      </c>
      <c r="J34" s="97">
        <v>1.7190000000000001</v>
      </c>
      <c r="K34" s="2">
        <v>1.9990000000000001</v>
      </c>
      <c r="L34" s="98">
        <v>2.379</v>
      </c>
      <c r="M34" s="97">
        <f t="shared" si="126"/>
        <v>1.8190000000000002</v>
      </c>
      <c r="N34" s="2">
        <f t="shared" si="127"/>
        <v>2.0990000000000002</v>
      </c>
      <c r="O34" s="98">
        <f t="shared" si="128"/>
        <v>2.4790000000000001</v>
      </c>
      <c r="P34" s="97">
        <f t="shared" si="129"/>
        <v>1.9190000000000003</v>
      </c>
      <c r="Q34" s="2">
        <f t="shared" si="130"/>
        <v>2.1990000000000003</v>
      </c>
      <c r="R34" s="98">
        <f t="shared" si="131"/>
        <v>2.5790000000000002</v>
      </c>
      <c r="S34" s="97">
        <f t="shared" si="132"/>
        <v>2.0190000000000001</v>
      </c>
      <c r="T34" s="2">
        <f t="shared" si="133"/>
        <v>2.2990000000000004</v>
      </c>
      <c r="U34" s="98">
        <f t="shared" si="134"/>
        <v>2.6790000000000003</v>
      </c>
      <c r="V34" s="97">
        <f t="shared" si="135"/>
        <v>2.1190000000000002</v>
      </c>
      <c r="W34" s="2">
        <f t="shared" si="136"/>
        <v>2.3990000000000005</v>
      </c>
      <c r="X34" s="98">
        <f t="shared" si="137"/>
        <v>2.7790000000000004</v>
      </c>
      <c r="Y34" s="97">
        <f t="shared" si="138"/>
        <v>2.2190000000000003</v>
      </c>
      <c r="Z34" s="2">
        <f t="shared" si="139"/>
        <v>2.4990000000000006</v>
      </c>
      <c r="AA34" s="98">
        <f t="shared" si="140"/>
        <v>2.8790000000000004</v>
      </c>
      <c r="AB34" s="97">
        <f t="shared" si="141"/>
        <v>2.3190000000000004</v>
      </c>
      <c r="AC34" s="2">
        <f t="shared" si="142"/>
        <v>2.5990000000000006</v>
      </c>
      <c r="AD34" s="98">
        <f t="shared" si="143"/>
        <v>2.9790000000000005</v>
      </c>
      <c r="AE34" s="52">
        <v>1.69</v>
      </c>
      <c r="AF34" s="4">
        <v>1.97</v>
      </c>
      <c r="AG34" s="4">
        <v>2.35</v>
      </c>
      <c r="AH34" s="41">
        <f t="shared" si="144"/>
        <v>1.79</v>
      </c>
      <c r="AI34" s="41">
        <f t="shared" si="145"/>
        <v>2.0699999999999998</v>
      </c>
      <c r="AJ34" s="41">
        <f t="shared" si="146"/>
        <v>2.4500000000000002</v>
      </c>
      <c r="AK34" s="41">
        <f t="shared" si="147"/>
        <v>1.8900000000000001</v>
      </c>
      <c r="AL34" s="42">
        <f t="shared" si="148"/>
        <v>2.17</v>
      </c>
      <c r="AM34" s="42">
        <f t="shared" si="149"/>
        <v>2.5500000000000003</v>
      </c>
      <c r="AN34" s="42">
        <f t="shared" si="150"/>
        <v>1.9900000000000002</v>
      </c>
      <c r="AO34" s="42">
        <f t="shared" si="151"/>
        <v>2.27</v>
      </c>
      <c r="AP34" s="42">
        <f t="shared" si="152"/>
        <v>2.6500000000000004</v>
      </c>
      <c r="AQ34" s="42">
        <f t="shared" si="153"/>
        <v>2.0900000000000003</v>
      </c>
      <c r="AR34" s="42">
        <f t="shared" si="154"/>
        <v>2.37</v>
      </c>
      <c r="AS34" s="42">
        <f t="shared" si="155"/>
        <v>2.7500000000000004</v>
      </c>
      <c r="AT34" s="42">
        <f t="shared" si="156"/>
        <v>2.1900000000000004</v>
      </c>
      <c r="AU34" s="42">
        <f t="shared" si="157"/>
        <v>2.4700000000000002</v>
      </c>
      <c r="AV34" s="42">
        <f t="shared" si="158"/>
        <v>2.8500000000000005</v>
      </c>
      <c r="AW34" s="42">
        <f t="shared" si="159"/>
        <v>2.2900000000000005</v>
      </c>
      <c r="AX34" s="42">
        <f t="shared" si="160"/>
        <v>2.5700000000000003</v>
      </c>
      <c r="AY34" s="47">
        <f t="shared" si="161"/>
        <v>2.9500000000000006</v>
      </c>
      <c r="AZ34" s="51">
        <f t="shared" si="162"/>
        <v>10330.125</v>
      </c>
      <c r="BA34" s="3">
        <f t="shared" si="163"/>
        <v>18720.713</v>
      </c>
      <c r="BB34" s="3">
        <f t="shared" si="164"/>
        <v>28728.75</v>
      </c>
      <c r="BC34" s="41">
        <f t="shared" si="165"/>
        <v>10941.375</v>
      </c>
      <c r="BD34" s="41">
        <f t="shared" si="166"/>
        <v>19671.002999999997</v>
      </c>
      <c r="BE34" s="41">
        <f t="shared" si="167"/>
        <v>29951.25</v>
      </c>
      <c r="BF34" s="41">
        <f t="shared" si="168"/>
        <v>11552.625000000002</v>
      </c>
      <c r="BG34" s="42">
        <f t="shared" si="169"/>
        <v>20621.292999999998</v>
      </c>
      <c r="BH34" s="42">
        <f t="shared" si="170"/>
        <v>31173.750000000007</v>
      </c>
      <c r="BI34" s="42">
        <f t="shared" si="171"/>
        <v>12163.875000000002</v>
      </c>
      <c r="BJ34" s="42">
        <f t="shared" si="172"/>
        <v>21571.582999999999</v>
      </c>
      <c r="BK34" s="42">
        <f t="shared" si="173"/>
        <v>32396.250000000007</v>
      </c>
      <c r="BL34" s="42">
        <f t="shared" si="174"/>
        <v>12775.125000000004</v>
      </c>
      <c r="BM34" s="42">
        <f t="shared" si="175"/>
        <v>22521.873</v>
      </c>
      <c r="BN34" s="42">
        <f t="shared" si="176"/>
        <v>33618.750000000007</v>
      </c>
      <c r="BO34" s="42">
        <f t="shared" si="177"/>
        <v>13386.375000000004</v>
      </c>
      <c r="BP34" s="42">
        <f t="shared" si="178"/>
        <v>23472.162999999997</v>
      </c>
      <c r="BQ34" s="42">
        <f t="shared" si="179"/>
        <v>34841.250000000007</v>
      </c>
      <c r="BR34" s="42">
        <f t="shared" si="180"/>
        <v>13997.625000000004</v>
      </c>
      <c r="BS34" s="42">
        <f t="shared" si="181"/>
        <v>24422.453000000001</v>
      </c>
      <c r="BT34" s="47">
        <f t="shared" si="182"/>
        <v>36063.750000000007</v>
      </c>
      <c r="BU34" s="51">
        <f t="shared" si="183"/>
        <v>2535</v>
      </c>
      <c r="BV34" s="3">
        <f t="shared" si="184"/>
        <v>2955</v>
      </c>
      <c r="BW34" s="3">
        <f t="shared" si="185"/>
        <v>3525</v>
      </c>
      <c r="BX34" s="51">
        <f t="shared" si="186"/>
        <v>2685</v>
      </c>
      <c r="BY34" s="3">
        <f t="shared" si="187"/>
        <v>3104.9999999999995</v>
      </c>
      <c r="BZ34" s="3">
        <f t="shared" si="188"/>
        <v>3675.0000000000005</v>
      </c>
      <c r="CA34" s="51">
        <f t="shared" si="189"/>
        <v>2835</v>
      </c>
      <c r="CB34" s="3">
        <f t="shared" si="190"/>
        <v>3255</v>
      </c>
      <c r="CC34" s="3">
        <f t="shared" si="191"/>
        <v>3825.0000000000005</v>
      </c>
      <c r="CD34" s="51">
        <f t="shared" si="192"/>
        <v>2985.0000000000005</v>
      </c>
      <c r="CE34" s="3">
        <f t="shared" si="193"/>
        <v>3405</v>
      </c>
      <c r="CF34" s="3">
        <f t="shared" si="194"/>
        <v>3975.0000000000005</v>
      </c>
      <c r="CG34" s="51">
        <f t="shared" si="195"/>
        <v>3135.0000000000005</v>
      </c>
      <c r="CH34" s="3">
        <f t="shared" si="196"/>
        <v>3555</v>
      </c>
      <c r="CI34" s="3">
        <f t="shared" si="197"/>
        <v>4125.0000000000009</v>
      </c>
      <c r="CJ34" s="51">
        <f t="shared" si="198"/>
        <v>3285.0000000000005</v>
      </c>
      <c r="CK34" s="3">
        <f t="shared" si="199"/>
        <v>3705.0000000000005</v>
      </c>
      <c r="CL34" s="3">
        <f t="shared" si="200"/>
        <v>4275.0000000000009</v>
      </c>
      <c r="CM34" s="51">
        <f t="shared" si="201"/>
        <v>3435.0000000000009</v>
      </c>
      <c r="CN34" s="3">
        <f t="shared" si="202"/>
        <v>3855.0000000000005</v>
      </c>
      <c r="CO34" s="3">
        <f t="shared" si="203"/>
        <v>4425.0000000000009</v>
      </c>
      <c r="CP34" s="34">
        <v>0.14699999999999999</v>
      </c>
      <c r="CQ34" s="60">
        <v>3969</v>
      </c>
      <c r="CR34" s="51">
        <f t="shared" si="204"/>
        <v>505.02375000000001</v>
      </c>
      <c r="CS34" s="3">
        <f t="shared" si="205"/>
        <v>769.34138999999993</v>
      </c>
      <c r="CT34" s="3">
        <f t="shared" si="206"/>
        <v>1086.6824999999999</v>
      </c>
      <c r="CU34" s="51">
        <f t="shared" si="207"/>
        <v>527.86124999999993</v>
      </c>
      <c r="CV34" s="51">
        <f t="shared" si="208"/>
        <v>802.35008999999991</v>
      </c>
      <c r="CW34" s="3">
        <f t="shared" si="209"/>
        <v>1127.8574999999998</v>
      </c>
      <c r="CX34" s="51">
        <f t="shared" si="210"/>
        <v>550.69875000000002</v>
      </c>
      <c r="CY34" s="3">
        <f t="shared" si="211"/>
        <v>835.35878999999989</v>
      </c>
      <c r="CZ34" s="3">
        <f t="shared" si="212"/>
        <v>1169.0325000000003</v>
      </c>
      <c r="DA34" s="51">
        <f t="shared" si="213"/>
        <v>573.53625</v>
      </c>
      <c r="DB34" s="3">
        <f t="shared" si="214"/>
        <v>868.36748999999998</v>
      </c>
      <c r="DC34" s="3">
        <f t="shared" si="215"/>
        <v>1210.2075000000002</v>
      </c>
      <c r="DD34" s="51">
        <f t="shared" si="216"/>
        <v>596.37375000000009</v>
      </c>
      <c r="DE34" s="3">
        <f t="shared" si="217"/>
        <v>901.37618999999995</v>
      </c>
      <c r="DF34" s="3">
        <f t="shared" si="218"/>
        <v>1251.3825000000002</v>
      </c>
      <c r="DG34" s="51">
        <f t="shared" si="219"/>
        <v>619.21125000000006</v>
      </c>
      <c r="DH34" s="3">
        <f t="shared" si="220"/>
        <v>934.38488999999981</v>
      </c>
      <c r="DI34" s="3">
        <f t="shared" si="221"/>
        <v>1292.5575000000001</v>
      </c>
      <c r="DJ34" s="51">
        <f t="shared" si="222"/>
        <v>642.04875000000004</v>
      </c>
      <c r="DK34" s="3">
        <f t="shared" si="223"/>
        <v>967.39359000000002</v>
      </c>
      <c r="DL34" s="3">
        <f t="shared" si="224"/>
        <v>1333.7325000000001</v>
      </c>
      <c r="DM34" s="51">
        <f t="shared" si="225"/>
        <v>17339.14875</v>
      </c>
      <c r="DN34" s="3">
        <f t="shared" si="226"/>
        <v>26414.054390000001</v>
      </c>
      <c r="DO34" s="3">
        <f t="shared" si="227"/>
        <v>37309.432500000003</v>
      </c>
      <c r="DP34" s="51">
        <f t="shared" si="228"/>
        <v>18123.236250000002</v>
      </c>
      <c r="DQ34" s="51">
        <f t="shared" si="229"/>
        <v>27547.353089999997</v>
      </c>
      <c r="DR34" s="3">
        <f t="shared" si="230"/>
        <v>38723.107499999998</v>
      </c>
      <c r="DS34" s="51">
        <f t="shared" si="231"/>
        <v>18907.32375</v>
      </c>
      <c r="DT34" s="3">
        <f t="shared" si="232"/>
        <v>28680.651789999996</v>
      </c>
      <c r="DU34" s="3">
        <f t="shared" si="233"/>
        <v>40136.782500000008</v>
      </c>
      <c r="DV34" s="51">
        <f t="shared" si="234"/>
        <v>19691.411250000001</v>
      </c>
      <c r="DW34" s="3">
        <f t="shared" si="235"/>
        <v>29813.950489999999</v>
      </c>
      <c r="DX34" s="3">
        <f t="shared" si="236"/>
        <v>41550.457500000004</v>
      </c>
      <c r="DY34" s="51">
        <f t="shared" si="237"/>
        <v>20475.498750000002</v>
      </c>
      <c r="DZ34" s="3">
        <f t="shared" si="238"/>
        <v>30947.249189999999</v>
      </c>
      <c r="EA34" s="3">
        <f t="shared" si="239"/>
        <v>42964.132500000007</v>
      </c>
      <c r="EB34" s="51">
        <f t="shared" si="240"/>
        <v>21259.586250000004</v>
      </c>
      <c r="EC34" s="3">
        <f t="shared" si="241"/>
        <v>32080.547889999998</v>
      </c>
      <c r="ED34" s="3">
        <f t="shared" si="242"/>
        <v>44377.80750000001</v>
      </c>
      <c r="EE34" s="51">
        <f t="shared" si="243"/>
        <v>22043.673750000005</v>
      </c>
      <c r="EF34" s="3">
        <f t="shared" si="244"/>
        <v>33213.846590000001</v>
      </c>
      <c r="EG34" s="3">
        <f t="shared" si="245"/>
        <v>45791.482500000006</v>
      </c>
    </row>
    <row r="35" spans="1:137" ht="18.75" x14ac:dyDescent="0.25">
      <c r="A35" s="2" t="s">
        <v>6</v>
      </c>
      <c r="B35" s="2" t="s">
        <v>152</v>
      </c>
      <c r="C35" s="2">
        <f>I1</f>
        <v>16300</v>
      </c>
      <c r="D35" s="2">
        <v>3.968</v>
      </c>
      <c r="E35" s="2">
        <v>4.4980000000000002</v>
      </c>
      <c r="F35" s="2">
        <v>5.2380000000000004</v>
      </c>
      <c r="G35" s="4">
        <v>3.26</v>
      </c>
      <c r="H35" s="4">
        <v>3.79</v>
      </c>
      <c r="I35" s="89">
        <v>4.53</v>
      </c>
      <c r="J35" s="97">
        <v>3.968</v>
      </c>
      <c r="K35" s="2">
        <v>4.4980000000000002</v>
      </c>
      <c r="L35" s="98">
        <v>5.2380000000000004</v>
      </c>
      <c r="M35" s="97">
        <f t="shared" si="126"/>
        <v>4.0679999999999996</v>
      </c>
      <c r="N35" s="2">
        <f t="shared" si="127"/>
        <v>4.5979999999999999</v>
      </c>
      <c r="O35" s="98">
        <f t="shared" si="128"/>
        <v>5.3380000000000001</v>
      </c>
      <c r="P35" s="97">
        <f t="shared" si="129"/>
        <v>4.1679999999999993</v>
      </c>
      <c r="Q35" s="2">
        <f t="shared" si="130"/>
        <v>4.6979999999999995</v>
      </c>
      <c r="R35" s="98">
        <f t="shared" si="131"/>
        <v>5.4379999999999997</v>
      </c>
      <c r="S35" s="97">
        <f t="shared" si="132"/>
        <v>4.2679999999999989</v>
      </c>
      <c r="T35" s="2">
        <f t="shared" si="133"/>
        <v>4.7979999999999992</v>
      </c>
      <c r="U35" s="98">
        <f t="shared" si="134"/>
        <v>5.5379999999999994</v>
      </c>
      <c r="V35" s="97">
        <f t="shared" si="135"/>
        <v>4.3679999999999986</v>
      </c>
      <c r="W35" s="2">
        <f t="shared" si="136"/>
        <v>4.8979999999999988</v>
      </c>
      <c r="X35" s="98">
        <f t="shared" si="137"/>
        <v>5.637999999999999</v>
      </c>
      <c r="Y35" s="97">
        <f t="shared" si="138"/>
        <v>4.4679999999999982</v>
      </c>
      <c r="Z35" s="2">
        <f t="shared" si="139"/>
        <v>4.9979999999999984</v>
      </c>
      <c r="AA35" s="98">
        <f t="shared" si="140"/>
        <v>5.7379999999999987</v>
      </c>
      <c r="AB35" s="97">
        <f t="shared" si="141"/>
        <v>4.5679999999999978</v>
      </c>
      <c r="AC35" s="2">
        <f t="shared" si="142"/>
        <v>5.0979999999999981</v>
      </c>
      <c r="AD35" s="98">
        <f t="shared" si="143"/>
        <v>5.8379999999999983</v>
      </c>
      <c r="AE35" s="52">
        <v>3.26</v>
      </c>
      <c r="AF35" s="4">
        <v>3.79</v>
      </c>
      <c r="AG35" s="4">
        <v>4.53</v>
      </c>
      <c r="AH35" s="41">
        <f t="shared" si="144"/>
        <v>3.36</v>
      </c>
      <c r="AI35" s="41">
        <f t="shared" si="145"/>
        <v>3.89</v>
      </c>
      <c r="AJ35" s="41">
        <f t="shared" si="146"/>
        <v>4.63</v>
      </c>
      <c r="AK35" s="41">
        <f t="shared" si="147"/>
        <v>3.46</v>
      </c>
      <c r="AL35" s="42">
        <f t="shared" si="148"/>
        <v>3.99</v>
      </c>
      <c r="AM35" s="42">
        <f t="shared" si="149"/>
        <v>4.7299999999999995</v>
      </c>
      <c r="AN35" s="42">
        <f t="shared" si="150"/>
        <v>3.56</v>
      </c>
      <c r="AO35" s="42">
        <f t="shared" si="151"/>
        <v>4.09</v>
      </c>
      <c r="AP35" s="42">
        <f t="shared" si="152"/>
        <v>4.8299999999999992</v>
      </c>
      <c r="AQ35" s="42">
        <f t="shared" si="153"/>
        <v>3.66</v>
      </c>
      <c r="AR35" s="42">
        <f t="shared" si="154"/>
        <v>4.1899999999999995</v>
      </c>
      <c r="AS35" s="42">
        <f t="shared" si="155"/>
        <v>4.9299999999999988</v>
      </c>
      <c r="AT35" s="42">
        <f t="shared" si="156"/>
        <v>3.7600000000000002</v>
      </c>
      <c r="AU35" s="42">
        <f t="shared" si="157"/>
        <v>4.2899999999999991</v>
      </c>
      <c r="AV35" s="42">
        <f t="shared" si="158"/>
        <v>5.0299999999999985</v>
      </c>
      <c r="AW35" s="42">
        <f t="shared" si="159"/>
        <v>3.8600000000000003</v>
      </c>
      <c r="AX35" s="42">
        <f t="shared" si="160"/>
        <v>4.3899999999999988</v>
      </c>
      <c r="AY35" s="47">
        <f t="shared" si="161"/>
        <v>5.1299999999999981</v>
      </c>
      <c r="AZ35" s="51">
        <f t="shared" si="162"/>
        <v>19926.75</v>
      </c>
      <c r="BA35" s="3">
        <f t="shared" si="163"/>
        <v>36015.990999999995</v>
      </c>
      <c r="BB35" s="3">
        <f t="shared" si="164"/>
        <v>55379.25</v>
      </c>
      <c r="BC35" s="41">
        <f t="shared" si="165"/>
        <v>20538</v>
      </c>
      <c r="BD35" s="41">
        <f t="shared" si="166"/>
        <v>36966.280999999995</v>
      </c>
      <c r="BE35" s="41">
        <f t="shared" si="167"/>
        <v>56601.75</v>
      </c>
      <c r="BF35" s="41">
        <f t="shared" si="168"/>
        <v>21149.25</v>
      </c>
      <c r="BG35" s="42">
        <f t="shared" si="169"/>
        <v>37916.570999999996</v>
      </c>
      <c r="BH35" s="42">
        <f t="shared" si="170"/>
        <v>57824.249999999985</v>
      </c>
      <c r="BI35" s="42">
        <f t="shared" si="171"/>
        <v>21760.5</v>
      </c>
      <c r="BJ35" s="42">
        <f t="shared" si="172"/>
        <v>38866.860999999997</v>
      </c>
      <c r="BK35" s="42">
        <f t="shared" si="173"/>
        <v>59046.749999999985</v>
      </c>
      <c r="BL35" s="42">
        <f t="shared" si="174"/>
        <v>22371.75</v>
      </c>
      <c r="BM35" s="42">
        <f t="shared" si="175"/>
        <v>39817.150999999991</v>
      </c>
      <c r="BN35" s="42">
        <f t="shared" si="176"/>
        <v>60269.249999999985</v>
      </c>
      <c r="BO35" s="42">
        <f t="shared" si="177"/>
        <v>22983.000000000004</v>
      </c>
      <c r="BP35" s="42">
        <f t="shared" si="178"/>
        <v>40767.440999999992</v>
      </c>
      <c r="BQ35" s="42">
        <f t="shared" si="179"/>
        <v>61491.749999999978</v>
      </c>
      <c r="BR35" s="42">
        <f t="shared" si="180"/>
        <v>23594.250000000004</v>
      </c>
      <c r="BS35" s="42">
        <f t="shared" si="181"/>
        <v>41717.730999999985</v>
      </c>
      <c r="BT35" s="47">
        <f t="shared" si="182"/>
        <v>62714.249999999978</v>
      </c>
      <c r="BU35" s="51">
        <f t="shared" si="183"/>
        <v>4890</v>
      </c>
      <c r="BV35" s="3">
        <f t="shared" si="184"/>
        <v>5685</v>
      </c>
      <c r="BW35" s="3">
        <f t="shared" si="185"/>
        <v>6795</v>
      </c>
      <c r="BX35" s="51">
        <f t="shared" si="186"/>
        <v>5040</v>
      </c>
      <c r="BY35" s="3">
        <f t="shared" si="187"/>
        <v>5835</v>
      </c>
      <c r="BZ35" s="3">
        <f t="shared" si="188"/>
        <v>6945</v>
      </c>
      <c r="CA35" s="51">
        <f t="shared" si="189"/>
        <v>5190</v>
      </c>
      <c r="CB35" s="3">
        <f t="shared" si="190"/>
        <v>5985</v>
      </c>
      <c r="CC35" s="3">
        <f t="shared" si="191"/>
        <v>7094.9999999999991</v>
      </c>
      <c r="CD35" s="51">
        <f t="shared" si="192"/>
        <v>5340</v>
      </c>
      <c r="CE35" s="3">
        <f t="shared" si="193"/>
        <v>6135</v>
      </c>
      <c r="CF35" s="3">
        <f t="shared" si="194"/>
        <v>7244.9999999999991</v>
      </c>
      <c r="CG35" s="51">
        <f t="shared" si="195"/>
        <v>5490</v>
      </c>
      <c r="CH35" s="3">
        <f t="shared" si="196"/>
        <v>6284.9999999999991</v>
      </c>
      <c r="CI35" s="3">
        <f t="shared" si="197"/>
        <v>7394.9999999999982</v>
      </c>
      <c r="CJ35" s="51">
        <f t="shared" si="198"/>
        <v>5640</v>
      </c>
      <c r="CK35" s="3">
        <f t="shared" si="199"/>
        <v>6434.9999999999991</v>
      </c>
      <c r="CL35" s="3">
        <f t="shared" si="200"/>
        <v>7544.9999999999973</v>
      </c>
      <c r="CM35" s="51">
        <f t="shared" si="201"/>
        <v>5790.0000000000009</v>
      </c>
      <c r="CN35" s="3">
        <f t="shared" si="202"/>
        <v>6584.9999999999982</v>
      </c>
      <c r="CO35" s="3">
        <f t="shared" si="203"/>
        <v>7694.9999999999973</v>
      </c>
      <c r="CP35" s="34">
        <v>3.54</v>
      </c>
      <c r="CQ35" s="60">
        <v>106200</v>
      </c>
      <c r="CR35" s="51">
        <f t="shared" si="204"/>
        <v>3930.5025000000001</v>
      </c>
      <c r="CS35" s="3">
        <f t="shared" si="205"/>
        <v>4437.0297299999993</v>
      </c>
      <c r="CT35" s="3">
        <f t="shared" si="206"/>
        <v>5051.2275</v>
      </c>
      <c r="CU35" s="51">
        <f t="shared" si="207"/>
        <v>3953.3399999999997</v>
      </c>
      <c r="CV35" s="51">
        <f t="shared" si="208"/>
        <v>4470.0384299999996</v>
      </c>
      <c r="CW35" s="3">
        <f t="shared" si="209"/>
        <v>5092.4025000000001</v>
      </c>
      <c r="CX35" s="51">
        <f t="shared" si="210"/>
        <v>3976.1774999999998</v>
      </c>
      <c r="CY35" s="3">
        <f t="shared" si="211"/>
        <v>4503.0471299999999</v>
      </c>
      <c r="CZ35" s="3">
        <f t="shared" si="212"/>
        <v>5133.5774999999994</v>
      </c>
      <c r="DA35" s="51">
        <f t="shared" si="213"/>
        <v>3999.0149999999999</v>
      </c>
      <c r="DB35" s="3">
        <f t="shared" si="214"/>
        <v>4536.0558300000002</v>
      </c>
      <c r="DC35" s="3">
        <f t="shared" si="215"/>
        <v>5174.7524999999996</v>
      </c>
      <c r="DD35" s="51">
        <f t="shared" si="216"/>
        <v>4021.8525</v>
      </c>
      <c r="DE35" s="3">
        <f t="shared" si="217"/>
        <v>4569.0645299999996</v>
      </c>
      <c r="DF35" s="3">
        <f t="shared" si="218"/>
        <v>5215.9274999999998</v>
      </c>
      <c r="DG35" s="51">
        <f t="shared" si="219"/>
        <v>4044.69</v>
      </c>
      <c r="DH35" s="3">
        <f t="shared" si="220"/>
        <v>4602.07323</v>
      </c>
      <c r="DI35" s="3">
        <f t="shared" si="221"/>
        <v>5257.1024999999991</v>
      </c>
      <c r="DJ35" s="51">
        <f t="shared" si="222"/>
        <v>4067.5274999999997</v>
      </c>
      <c r="DK35" s="3">
        <f t="shared" si="223"/>
        <v>4635.0819299999994</v>
      </c>
      <c r="DL35" s="3">
        <f t="shared" si="224"/>
        <v>5298.2774999999992</v>
      </c>
      <c r="DM35" s="51">
        <f t="shared" si="225"/>
        <v>134947.2525</v>
      </c>
      <c r="DN35" s="3">
        <f t="shared" si="226"/>
        <v>152338.02072999999</v>
      </c>
      <c r="DO35" s="3">
        <f t="shared" si="227"/>
        <v>173425.47750000001</v>
      </c>
      <c r="DP35" s="51">
        <f t="shared" si="228"/>
        <v>135731.34</v>
      </c>
      <c r="DQ35" s="51">
        <f t="shared" si="229"/>
        <v>153471.31942999997</v>
      </c>
      <c r="DR35" s="3">
        <f t="shared" si="230"/>
        <v>174839.1525</v>
      </c>
      <c r="DS35" s="51">
        <f t="shared" si="231"/>
        <v>136515.42749999999</v>
      </c>
      <c r="DT35" s="3">
        <f t="shared" si="232"/>
        <v>154604.61812999999</v>
      </c>
      <c r="DU35" s="3">
        <f t="shared" si="233"/>
        <v>176252.82750000001</v>
      </c>
      <c r="DV35" s="51">
        <f t="shared" si="234"/>
        <v>137299.51500000001</v>
      </c>
      <c r="DW35" s="3">
        <f t="shared" si="235"/>
        <v>155737.91683</v>
      </c>
      <c r="DX35" s="3">
        <f t="shared" si="236"/>
        <v>177666.5025</v>
      </c>
      <c r="DY35" s="51">
        <f t="shared" si="237"/>
        <v>138083.60250000001</v>
      </c>
      <c r="DZ35" s="3">
        <f t="shared" si="238"/>
        <v>156871.21552999999</v>
      </c>
      <c r="EA35" s="3">
        <f t="shared" si="239"/>
        <v>179080.17749999999</v>
      </c>
      <c r="EB35" s="51">
        <f t="shared" si="240"/>
        <v>138867.69</v>
      </c>
      <c r="EC35" s="3">
        <f t="shared" si="241"/>
        <v>158004.51423</v>
      </c>
      <c r="ED35" s="3">
        <f t="shared" si="242"/>
        <v>180493.85249999998</v>
      </c>
      <c r="EE35" s="51">
        <f t="shared" si="243"/>
        <v>139651.7775</v>
      </c>
      <c r="EF35" s="3">
        <f t="shared" si="244"/>
        <v>159137.81292999996</v>
      </c>
      <c r="EG35" s="3">
        <f t="shared" si="245"/>
        <v>181907.52749999997</v>
      </c>
    </row>
    <row r="36" spans="1:137" ht="18.75" x14ac:dyDescent="0.25">
      <c r="A36" s="2" t="s">
        <v>6</v>
      </c>
      <c r="B36" s="2" t="s">
        <v>155</v>
      </c>
      <c r="C36" s="2">
        <f>I1</f>
        <v>16300</v>
      </c>
      <c r="D36" s="2">
        <v>2.5099999999999998</v>
      </c>
      <c r="E36" s="2">
        <v>2.88</v>
      </c>
      <c r="F36" s="2">
        <v>3.41</v>
      </c>
      <c r="G36" s="4">
        <v>2.31</v>
      </c>
      <c r="H36" s="4">
        <v>2.68</v>
      </c>
      <c r="I36" s="89">
        <v>3.21</v>
      </c>
      <c r="J36" s="97">
        <v>2.5099999999999998</v>
      </c>
      <c r="K36" s="2">
        <v>2.88</v>
      </c>
      <c r="L36" s="98">
        <v>3.41</v>
      </c>
      <c r="M36" s="97">
        <f t="shared" si="126"/>
        <v>2.61</v>
      </c>
      <c r="N36" s="2">
        <f t="shared" si="127"/>
        <v>2.98</v>
      </c>
      <c r="O36" s="98">
        <f t="shared" si="128"/>
        <v>3.5100000000000002</v>
      </c>
      <c r="P36" s="97">
        <f t="shared" si="129"/>
        <v>2.71</v>
      </c>
      <c r="Q36" s="2">
        <f t="shared" si="130"/>
        <v>3.08</v>
      </c>
      <c r="R36" s="98">
        <f t="shared" si="131"/>
        <v>3.6100000000000003</v>
      </c>
      <c r="S36" s="97">
        <f t="shared" si="132"/>
        <v>2.81</v>
      </c>
      <c r="T36" s="2">
        <f t="shared" si="133"/>
        <v>3.18</v>
      </c>
      <c r="U36" s="98">
        <f t="shared" si="134"/>
        <v>3.7100000000000004</v>
      </c>
      <c r="V36" s="97">
        <f t="shared" si="135"/>
        <v>2.91</v>
      </c>
      <c r="W36" s="2">
        <f t="shared" si="136"/>
        <v>3.2800000000000002</v>
      </c>
      <c r="X36" s="98">
        <f t="shared" si="137"/>
        <v>3.8100000000000005</v>
      </c>
      <c r="Y36" s="97">
        <f t="shared" si="138"/>
        <v>3.0100000000000002</v>
      </c>
      <c r="Z36" s="2">
        <f t="shared" si="139"/>
        <v>3.3800000000000003</v>
      </c>
      <c r="AA36" s="98">
        <f t="shared" si="140"/>
        <v>3.9100000000000006</v>
      </c>
      <c r="AB36" s="97">
        <f t="shared" si="141"/>
        <v>3.1100000000000003</v>
      </c>
      <c r="AC36" s="2">
        <f t="shared" si="142"/>
        <v>3.4800000000000004</v>
      </c>
      <c r="AD36" s="98">
        <f t="shared" si="143"/>
        <v>4.0100000000000007</v>
      </c>
      <c r="AE36" s="52">
        <v>2.31</v>
      </c>
      <c r="AF36" s="4">
        <v>2.68</v>
      </c>
      <c r="AG36" s="4">
        <v>3.21</v>
      </c>
      <c r="AH36" s="41">
        <f t="shared" si="144"/>
        <v>2.41</v>
      </c>
      <c r="AI36" s="41">
        <f t="shared" si="145"/>
        <v>2.7800000000000002</v>
      </c>
      <c r="AJ36" s="41">
        <f t="shared" si="146"/>
        <v>3.31</v>
      </c>
      <c r="AK36" s="41">
        <f t="shared" si="147"/>
        <v>2.5100000000000002</v>
      </c>
      <c r="AL36" s="42">
        <f t="shared" si="148"/>
        <v>2.8800000000000003</v>
      </c>
      <c r="AM36" s="42">
        <f t="shared" si="149"/>
        <v>3.41</v>
      </c>
      <c r="AN36" s="42">
        <f t="shared" si="150"/>
        <v>2.6100000000000003</v>
      </c>
      <c r="AO36" s="42">
        <f t="shared" si="151"/>
        <v>2.9800000000000004</v>
      </c>
      <c r="AP36" s="42">
        <f t="shared" si="152"/>
        <v>3.5100000000000002</v>
      </c>
      <c r="AQ36" s="42">
        <f t="shared" si="153"/>
        <v>2.7100000000000004</v>
      </c>
      <c r="AR36" s="42">
        <f t="shared" si="154"/>
        <v>3.0800000000000005</v>
      </c>
      <c r="AS36" s="42">
        <f t="shared" si="155"/>
        <v>3.6100000000000003</v>
      </c>
      <c r="AT36" s="42">
        <f t="shared" si="156"/>
        <v>2.8100000000000005</v>
      </c>
      <c r="AU36" s="42">
        <f t="shared" si="157"/>
        <v>3.1800000000000006</v>
      </c>
      <c r="AV36" s="42">
        <f t="shared" si="158"/>
        <v>3.7100000000000004</v>
      </c>
      <c r="AW36" s="42">
        <f t="shared" si="159"/>
        <v>2.9100000000000006</v>
      </c>
      <c r="AX36" s="42">
        <f t="shared" si="160"/>
        <v>3.2800000000000007</v>
      </c>
      <c r="AY36" s="47">
        <f t="shared" si="161"/>
        <v>3.8100000000000005</v>
      </c>
      <c r="AZ36" s="51">
        <f t="shared" si="162"/>
        <v>14119.875</v>
      </c>
      <c r="BA36" s="3">
        <f t="shared" si="163"/>
        <v>25467.771999999997</v>
      </c>
      <c r="BB36" s="3">
        <f t="shared" si="164"/>
        <v>39242.25</v>
      </c>
      <c r="BC36" s="41">
        <f t="shared" si="165"/>
        <v>14731.125</v>
      </c>
      <c r="BD36" s="41">
        <f t="shared" si="166"/>
        <v>26418.062000000002</v>
      </c>
      <c r="BE36" s="41">
        <f t="shared" si="167"/>
        <v>40464.75</v>
      </c>
      <c r="BF36" s="41">
        <f t="shared" si="168"/>
        <v>15342.375000000004</v>
      </c>
      <c r="BG36" s="42">
        <f t="shared" si="169"/>
        <v>27368.352000000003</v>
      </c>
      <c r="BH36" s="42">
        <f t="shared" si="170"/>
        <v>41687.25</v>
      </c>
      <c r="BI36" s="42">
        <f t="shared" si="171"/>
        <v>15953.625000000004</v>
      </c>
      <c r="BJ36" s="42">
        <f t="shared" si="172"/>
        <v>28318.642000000003</v>
      </c>
      <c r="BK36" s="42">
        <f t="shared" si="173"/>
        <v>42909.750000000007</v>
      </c>
      <c r="BL36" s="42">
        <f t="shared" si="174"/>
        <v>16564.875000000004</v>
      </c>
      <c r="BM36" s="42">
        <f t="shared" si="175"/>
        <v>29268.932000000001</v>
      </c>
      <c r="BN36" s="42">
        <f t="shared" si="176"/>
        <v>44132.250000000007</v>
      </c>
      <c r="BO36" s="42">
        <f t="shared" si="177"/>
        <v>17176.125000000004</v>
      </c>
      <c r="BP36" s="42">
        <f t="shared" si="178"/>
        <v>30219.222000000002</v>
      </c>
      <c r="BQ36" s="42">
        <f t="shared" si="179"/>
        <v>45354.750000000007</v>
      </c>
      <c r="BR36" s="42">
        <f t="shared" si="180"/>
        <v>17787.375000000004</v>
      </c>
      <c r="BS36" s="42">
        <f t="shared" si="181"/>
        <v>31169.512000000006</v>
      </c>
      <c r="BT36" s="47">
        <f t="shared" si="182"/>
        <v>46577.250000000007</v>
      </c>
      <c r="BU36" s="51">
        <f t="shared" si="183"/>
        <v>3465</v>
      </c>
      <c r="BV36" s="3">
        <f t="shared" si="184"/>
        <v>4020.0000000000005</v>
      </c>
      <c r="BW36" s="3">
        <f t="shared" si="185"/>
        <v>4815</v>
      </c>
      <c r="BX36" s="51">
        <f t="shared" si="186"/>
        <v>3615</v>
      </c>
      <c r="BY36" s="3">
        <f t="shared" si="187"/>
        <v>4170</v>
      </c>
      <c r="BZ36" s="3">
        <f t="shared" si="188"/>
        <v>4965</v>
      </c>
      <c r="CA36" s="51">
        <f t="shared" si="189"/>
        <v>3765.0000000000005</v>
      </c>
      <c r="CB36" s="3">
        <f t="shared" si="190"/>
        <v>4320.0000000000009</v>
      </c>
      <c r="CC36" s="3">
        <f t="shared" si="191"/>
        <v>5115</v>
      </c>
      <c r="CD36" s="51">
        <f t="shared" si="192"/>
        <v>3915.0000000000005</v>
      </c>
      <c r="CE36" s="3">
        <f t="shared" si="193"/>
        <v>4470.0000000000009</v>
      </c>
      <c r="CF36" s="3">
        <f t="shared" si="194"/>
        <v>5265</v>
      </c>
      <c r="CG36" s="51">
        <f t="shared" si="195"/>
        <v>4065.0000000000005</v>
      </c>
      <c r="CH36" s="3">
        <f t="shared" si="196"/>
        <v>4620.0000000000009</v>
      </c>
      <c r="CI36" s="3">
        <f t="shared" si="197"/>
        <v>5415.0000000000009</v>
      </c>
      <c r="CJ36" s="51">
        <f t="shared" si="198"/>
        <v>4215.0000000000009</v>
      </c>
      <c r="CK36" s="3">
        <f t="shared" si="199"/>
        <v>4770.0000000000009</v>
      </c>
      <c r="CL36" s="3">
        <f t="shared" si="200"/>
        <v>5565.0000000000009</v>
      </c>
      <c r="CM36" s="51">
        <f t="shared" si="201"/>
        <v>4365.0000000000009</v>
      </c>
      <c r="CN36" s="3">
        <f t="shared" si="202"/>
        <v>4920.0000000000009</v>
      </c>
      <c r="CO36" s="3">
        <f t="shared" si="203"/>
        <v>5715.0000000000009</v>
      </c>
      <c r="CP36" s="34">
        <v>0.9</v>
      </c>
      <c r="CQ36" s="60">
        <v>25680</v>
      </c>
      <c r="CR36" s="51">
        <f t="shared" si="204"/>
        <v>1297.94625</v>
      </c>
      <c r="CS36" s="3">
        <f t="shared" si="205"/>
        <v>1655.03316</v>
      </c>
      <c r="CT36" s="3">
        <f t="shared" si="206"/>
        <v>2092.1174999999998</v>
      </c>
      <c r="CU36" s="51">
        <f t="shared" si="207"/>
        <v>1320.7837500000001</v>
      </c>
      <c r="CV36" s="51">
        <f t="shared" si="208"/>
        <v>1688.04186</v>
      </c>
      <c r="CW36" s="3">
        <f t="shared" si="209"/>
        <v>2133.2925</v>
      </c>
      <c r="CX36" s="51">
        <f t="shared" si="210"/>
        <v>1343.6212499999999</v>
      </c>
      <c r="CY36" s="3">
        <f t="shared" si="211"/>
        <v>1721.0505599999999</v>
      </c>
      <c r="CZ36" s="3">
        <f t="shared" si="212"/>
        <v>2174.4674999999997</v>
      </c>
      <c r="DA36" s="51">
        <f t="shared" si="213"/>
        <v>1366.45875</v>
      </c>
      <c r="DB36" s="3">
        <f t="shared" si="214"/>
        <v>1754.0592600000002</v>
      </c>
      <c r="DC36" s="3">
        <f t="shared" si="215"/>
        <v>2215.6424999999999</v>
      </c>
      <c r="DD36" s="51">
        <f t="shared" si="216"/>
        <v>1389.2962499999999</v>
      </c>
      <c r="DE36" s="3">
        <f t="shared" si="217"/>
        <v>1787.0679599999999</v>
      </c>
      <c r="DF36" s="3">
        <f t="shared" si="218"/>
        <v>2256.8175000000001</v>
      </c>
      <c r="DG36" s="51">
        <f t="shared" si="219"/>
        <v>1412.13375</v>
      </c>
      <c r="DH36" s="3">
        <f t="shared" si="220"/>
        <v>1820.0766599999999</v>
      </c>
      <c r="DI36" s="3">
        <f t="shared" si="221"/>
        <v>2297.9924999999998</v>
      </c>
      <c r="DJ36" s="51">
        <f t="shared" si="222"/>
        <v>1434.9712500000001</v>
      </c>
      <c r="DK36" s="3">
        <f t="shared" si="223"/>
        <v>1853.0853600000003</v>
      </c>
      <c r="DL36" s="3">
        <f t="shared" si="224"/>
        <v>2339.1675</v>
      </c>
      <c r="DM36" s="51">
        <f t="shared" si="225"/>
        <v>44562.821250000001</v>
      </c>
      <c r="DN36" s="3">
        <f t="shared" si="226"/>
        <v>56822.805159999996</v>
      </c>
      <c r="DO36" s="3">
        <f t="shared" si="227"/>
        <v>71829.367499999993</v>
      </c>
      <c r="DP36" s="51">
        <f t="shared" si="228"/>
        <v>45346.908750000002</v>
      </c>
      <c r="DQ36" s="51">
        <f t="shared" si="229"/>
        <v>57956.103860000003</v>
      </c>
      <c r="DR36" s="3">
        <f t="shared" si="230"/>
        <v>73243.042499999996</v>
      </c>
      <c r="DS36" s="51">
        <f t="shared" si="231"/>
        <v>46130.996249999997</v>
      </c>
      <c r="DT36" s="3">
        <f t="shared" si="232"/>
        <v>59089.402560000002</v>
      </c>
      <c r="DU36" s="3">
        <f t="shared" si="233"/>
        <v>74656.717499999999</v>
      </c>
      <c r="DV36" s="51">
        <f t="shared" si="234"/>
        <v>46915.083749999998</v>
      </c>
      <c r="DW36" s="3">
        <f t="shared" si="235"/>
        <v>60222.701260000009</v>
      </c>
      <c r="DX36" s="3">
        <f t="shared" si="236"/>
        <v>76070.392500000002</v>
      </c>
      <c r="DY36" s="51">
        <f t="shared" si="237"/>
        <v>47699.171249999999</v>
      </c>
      <c r="DZ36" s="3">
        <f t="shared" si="238"/>
        <v>61355.999960000001</v>
      </c>
      <c r="EA36" s="3">
        <f t="shared" si="239"/>
        <v>77484.067500000005</v>
      </c>
      <c r="EB36" s="51">
        <f t="shared" si="240"/>
        <v>48483.258750000001</v>
      </c>
      <c r="EC36" s="3">
        <f t="shared" si="241"/>
        <v>62489.29866</v>
      </c>
      <c r="ED36" s="3">
        <f t="shared" si="242"/>
        <v>78897.742499999993</v>
      </c>
      <c r="EE36" s="51">
        <f t="shared" si="243"/>
        <v>49267.346250000002</v>
      </c>
      <c r="EF36" s="3">
        <f t="shared" si="244"/>
        <v>63622.597360000007</v>
      </c>
      <c r="EG36" s="3">
        <f t="shared" si="245"/>
        <v>80311.417499999996</v>
      </c>
    </row>
    <row r="37" spans="1:137" ht="18.75" x14ac:dyDescent="0.25">
      <c r="A37" s="2" t="s">
        <v>6</v>
      </c>
      <c r="B37" s="2" t="s">
        <v>158</v>
      </c>
      <c r="C37" s="2">
        <f>I1</f>
        <v>16300</v>
      </c>
      <c r="D37" s="2">
        <v>5.0999999999999996</v>
      </c>
      <c r="E37" s="2">
        <v>5.86</v>
      </c>
      <c r="F37" s="2">
        <v>6.92</v>
      </c>
      <c r="G37" s="4">
        <v>4.66</v>
      </c>
      <c r="H37" s="4">
        <v>5.42</v>
      </c>
      <c r="I37" s="89">
        <v>6.48</v>
      </c>
      <c r="J37" s="97">
        <v>5.0999999999999996</v>
      </c>
      <c r="K37" s="2">
        <v>5.86</v>
      </c>
      <c r="L37" s="98">
        <v>6.92</v>
      </c>
      <c r="M37" s="97">
        <f t="shared" si="126"/>
        <v>5.1999999999999993</v>
      </c>
      <c r="N37" s="2">
        <f t="shared" si="127"/>
        <v>5.96</v>
      </c>
      <c r="O37" s="98">
        <f t="shared" si="128"/>
        <v>7.02</v>
      </c>
      <c r="P37" s="97">
        <f t="shared" si="129"/>
        <v>5.2999999999999989</v>
      </c>
      <c r="Q37" s="2">
        <f t="shared" si="130"/>
        <v>6.06</v>
      </c>
      <c r="R37" s="98">
        <f t="shared" si="131"/>
        <v>7.1199999999999992</v>
      </c>
      <c r="S37" s="97">
        <f t="shared" si="132"/>
        <v>5.3999999999999986</v>
      </c>
      <c r="T37" s="2">
        <f t="shared" si="133"/>
        <v>6.1599999999999993</v>
      </c>
      <c r="U37" s="98">
        <f t="shared" si="134"/>
        <v>7.2199999999999989</v>
      </c>
      <c r="V37" s="97">
        <f t="shared" si="135"/>
        <v>5.4999999999999982</v>
      </c>
      <c r="W37" s="2">
        <f t="shared" si="136"/>
        <v>6.2599999999999989</v>
      </c>
      <c r="X37" s="98">
        <f t="shared" si="137"/>
        <v>7.3199999999999985</v>
      </c>
      <c r="Y37" s="97">
        <f t="shared" si="138"/>
        <v>5.5999999999999979</v>
      </c>
      <c r="Z37" s="2">
        <f t="shared" si="139"/>
        <v>6.3599999999999985</v>
      </c>
      <c r="AA37" s="98">
        <f t="shared" si="140"/>
        <v>7.4199999999999982</v>
      </c>
      <c r="AB37" s="97">
        <f t="shared" si="141"/>
        <v>5.6999999999999975</v>
      </c>
      <c r="AC37" s="2">
        <f t="shared" si="142"/>
        <v>6.4599999999999982</v>
      </c>
      <c r="AD37" s="98">
        <f t="shared" si="143"/>
        <v>7.5199999999999978</v>
      </c>
      <c r="AE37" s="52">
        <v>4.66</v>
      </c>
      <c r="AF37" s="4">
        <v>5.42</v>
      </c>
      <c r="AG37" s="4">
        <v>6.48</v>
      </c>
      <c r="AH37" s="41">
        <f t="shared" si="144"/>
        <v>4.76</v>
      </c>
      <c r="AI37" s="41">
        <f t="shared" si="145"/>
        <v>5.52</v>
      </c>
      <c r="AJ37" s="41">
        <f t="shared" si="146"/>
        <v>6.58</v>
      </c>
      <c r="AK37" s="41">
        <f t="shared" si="147"/>
        <v>4.8599999999999994</v>
      </c>
      <c r="AL37" s="42">
        <f t="shared" si="148"/>
        <v>5.6199999999999992</v>
      </c>
      <c r="AM37" s="42">
        <f t="shared" si="149"/>
        <v>6.68</v>
      </c>
      <c r="AN37" s="42">
        <f t="shared" si="150"/>
        <v>4.9599999999999991</v>
      </c>
      <c r="AO37" s="42">
        <f t="shared" si="151"/>
        <v>5.7199999999999989</v>
      </c>
      <c r="AP37" s="42">
        <f t="shared" si="152"/>
        <v>6.7799999999999994</v>
      </c>
      <c r="AQ37" s="42">
        <f t="shared" si="153"/>
        <v>5.0599999999999987</v>
      </c>
      <c r="AR37" s="42">
        <f t="shared" si="154"/>
        <v>5.8199999999999985</v>
      </c>
      <c r="AS37" s="42">
        <f t="shared" si="155"/>
        <v>6.879999999999999</v>
      </c>
      <c r="AT37" s="42">
        <f t="shared" si="156"/>
        <v>5.1599999999999984</v>
      </c>
      <c r="AU37" s="42">
        <f t="shared" si="157"/>
        <v>5.9199999999999982</v>
      </c>
      <c r="AV37" s="42">
        <f t="shared" si="158"/>
        <v>6.9799999999999986</v>
      </c>
      <c r="AW37" s="42">
        <f t="shared" si="159"/>
        <v>5.259999999999998</v>
      </c>
      <c r="AX37" s="42">
        <f t="shared" si="160"/>
        <v>6.0199999999999978</v>
      </c>
      <c r="AY37" s="47">
        <f t="shared" si="161"/>
        <v>7.0799999999999983</v>
      </c>
      <c r="AZ37" s="51">
        <f t="shared" si="162"/>
        <v>28484.25</v>
      </c>
      <c r="BA37" s="3">
        <f t="shared" si="163"/>
        <v>51505.717999999993</v>
      </c>
      <c r="BB37" s="3">
        <f t="shared" si="164"/>
        <v>79218</v>
      </c>
      <c r="BC37" s="41">
        <f t="shared" si="165"/>
        <v>29095.5</v>
      </c>
      <c r="BD37" s="41">
        <f t="shared" si="166"/>
        <v>52456.007999999994</v>
      </c>
      <c r="BE37" s="41">
        <f t="shared" si="167"/>
        <v>80440.5</v>
      </c>
      <c r="BF37" s="41">
        <f t="shared" si="168"/>
        <v>29706.749999999993</v>
      </c>
      <c r="BG37" s="42">
        <f t="shared" si="169"/>
        <v>53406.297999999988</v>
      </c>
      <c r="BH37" s="42">
        <f t="shared" si="170"/>
        <v>81663</v>
      </c>
      <c r="BI37" s="42">
        <f t="shared" si="171"/>
        <v>30317.999999999993</v>
      </c>
      <c r="BJ37" s="42">
        <f t="shared" si="172"/>
        <v>54356.587999999989</v>
      </c>
      <c r="BK37" s="42">
        <f t="shared" si="173"/>
        <v>82885.499999999985</v>
      </c>
      <c r="BL37" s="42">
        <f t="shared" si="174"/>
        <v>30929.249999999993</v>
      </c>
      <c r="BM37" s="42">
        <f t="shared" si="175"/>
        <v>55306.877999999982</v>
      </c>
      <c r="BN37" s="42">
        <f t="shared" si="176"/>
        <v>84107.999999999985</v>
      </c>
      <c r="BO37" s="42">
        <f t="shared" si="177"/>
        <v>31540.499999999989</v>
      </c>
      <c r="BP37" s="42">
        <f t="shared" si="178"/>
        <v>56257.167999999976</v>
      </c>
      <c r="BQ37" s="42">
        <f t="shared" si="179"/>
        <v>85330.499999999971</v>
      </c>
      <c r="BR37" s="42">
        <f t="shared" si="180"/>
        <v>32151.749999999989</v>
      </c>
      <c r="BS37" s="42">
        <f t="shared" si="181"/>
        <v>57207.457999999977</v>
      </c>
      <c r="BT37" s="47">
        <f t="shared" si="182"/>
        <v>86552.999999999971</v>
      </c>
      <c r="BU37" s="51">
        <f t="shared" si="183"/>
        <v>6990</v>
      </c>
      <c r="BV37" s="3">
        <f t="shared" si="184"/>
        <v>8130</v>
      </c>
      <c r="BW37" s="3">
        <f t="shared" si="185"/>
        <v>9720</v>
      </c>
      <c r="BX37" s="51">
        <f t="shared" si="186"/>
        <v>7140</v>
      </c>
      <c r="BY37" s="3">
        <f t="shared" si="187"/>
        <v>8280</v>
      </c>
      <c r="BZ37" s="3">
        <f t="shared" si="188"/>
        <v>9870</v>
      </c>
      <c r="CA37" s="51">
        <f t="shared" si="189"/>
        <v>7289.9999999999991</v>
      </c>
      <c r="CB37" s="3">
        <f t="shared" si="190"/>
        <v>8429.9999999999982</v>
      </c>
      <c r="CC37" s="3">
        <f t="shared" si="191"/>
        <v>10020</v>
      </c>
      <c r="CD37" s="51">
        <f t="shared" si="192"/>
        <v>7439.9999999999982</v>
      </c>
      <c r="CE37" s="3">
        <f t="shared" si="193"/>
        <v>8579.9999999999982</v>
      </c>
      <c r="CF37" s="3">
        <f t="shared" si="194"/>
        <v>10169.999999999998</v>
      </c>
      <c r="CG37" s="51">
        <f t="shared" si="195"/>
        <v>7589.9999999999982</v>
      </c>
      <c r="CH37" s="3">
        <f t="shared" si="196"/>
        <v>8729.9999999999982</v>
      </c>
      <c r="CI37" s="3">
        <f t="shared" si="197"/>
        <v>10319.999999999998</v>
      </c>
      <c r="CJ37" s="51">
        <f t="shared" si="198"/>
        <v>7739.9999999999973</v>
      </c>
      <c r="CK37" s="3">
        <f t="shared" si="199"/>
        <v>8879.9999999999964</v>
      </c>
      <c r="CL37" s="3">
        <f t="shared" si="200"/>
        <v>10469.999999999998</v>
      </c>
      <c r="CM37" s="51">
        <f t="shared" si="201"/>
        <v>7889.9999999999973</v>
      </c>
      <c r="CN37" s="3">
        <f t="shared" si="202"/>
        <v>9029.9999999999964</v>
      </c>
      <c r="CO37" s="3">
        <f t="shared" si="203"/>
        <v>10619.999999999998</v>
      </c>
      <c r="CP37" s="34">
        <v>1.81</v>
      </c>
      <c r="CQ37" s="60">
        <v>48870</v>
      </c>
      <c r="CR37" s="51">
        <f t="shared" si="204"/>
        <v>2530.3274999999999</v>
      </c>
      <c r="CS37" s="3">
        <f t="shared" si="205"/>
        <v>3255.1715399999998</v>
      </c>
      <c r="CT37" s="3">
        <f t="shared" si="206"/>
        <v>4134.24</v>
      </c>
      <c r="CU37" s="51">
        <f t="shared" si="207"/>
        <v>2553.165</v>
      </c>
      <c r="CV37" s="51">
        <f t="shared" si="208"/>
        <v>3288.1802400000001</v>
      </c>
      <c r="CW37" s="3">
        <f t="shared" si="209"/>
        <v>4175.415</v>
      </c>
      <c r="CX37" s="51">
        <f t="shared" si="210"/>
        <v>2576.0025000000001</v>
      </c>
      <c r="CY37" s="3">
        <f t="shared" si="211"/>
        <v>3321.1889399999991</v>
      </c>
      <c r="CZ37" s="3">
        <f t="shared" si="212"/>
        <v>4216.59</v>
      </c>
      <c r="DA37" s="51">
        <f t="shared" si="213"/>
        <v>2598.8399999999997</v>
      </c>
      <c r="DB37" s="3">
        <f t="shared" si="214"/>
        <v>3354.1976399999994</v>
      </c>
      <c r="DC37" s="3">
        <f t="shared" si="215"/>
        <v>4257.7649999999994</v>
      </c>
      <c r="DD37" s="51">
        <f t="shared" si="216"/>
        <v>2621.6774999999998</v>
      </c>
      <c r="DE37" s="3">
        <f t="shared" si="217"/>
        <v>3387.2063399999993</v>
      </c>
      <c r="DF37" s="3">
        <f t="shared" si="218"/>
        <v>4298.9399999999996</v>
      </c>
      <c r="DG37" s="51">
        <f t="shared" si="219"/>
        <v>2644.5149999999994</v>
      </c>
      <c r="DH37" s="3">
        <f t="shared" si="220"/>
        <v>3420.2150399999991</v>
      </c>
      <c r="DI37" s="3">
        <f t="shared" si="221"/>
        <v>4340.1149999999989</v>
      </c>
      <c r="DJ37" s="51">
        <f t="shared" si="222"/>
        <v>2667.3524999999995</v>
      </c>
      <c r="DK37" s="3">
        <f t="shared" si="223"/>
        <v>3453.223739999999</v>
      </c>
      <c r="DL37" s="3">
        <f t="shared" si="224"/>
        <v>4381.2899999999991</v>
      </c>
      <c r="DM37" s="51">
        <f t="shared" si="225"/>
        <v>86874.577499999999</v>
      </c>
      <c r="DN37" s="3">
        <f t="shared" si="226"/>
        <v>111760.88953999999</v>
      </c>
      <c r="DO37" s="3">
        <f t="shared" si="227"/>
        <v>141942.24</v>
      </c>
      <c r="DP37" s="51">
        <f t="shared" si="228"/>
        <v>87658.664999999994</v>
      </c>
      <c r="DQ37" s="51">
        <f t="shared" si="229"/>
        <v>112894.18824</v>
      </c>
      <c r="DR37" s="3">
        <f t="shared" si="230"/>
        <v>143355.91500000001</v>
      </c>
      <c r="DS37" s="51">
        <f t="shared" si="231"/>
        <v>88442.752500000002</v>
      </c>
      <c r="DT37" s="3">
        <f t="shared" si="232"/>
        <v>114027.48693999997</v>
      </c>
      <c r="DU37" s="3">
        <f t="shared" si="233"/>
        <v>144769.59</v>
      </c>
      <c r="DV37" s="51">
        <f t="shared" si="234"/>
        <v>89226.84</v>
      </c>
      <c r="DW37" s="3">
        <f t="shared" si="235"/>
        <v>115160.78563999999</v>
      </c>
      <c r="DX37" s="3">
        <f t="shared" si="236"/>
        <v>146183.26500000001</v>
      </c>
      <c r="DY37" s="51">
        <f t="shared" si="237"/>
        <v>90010.927500000005</v>
      </c>
      <c r="DZ37" s="3">
        <f t="shared" si="238"/>
        <v>116294.08433999999</v>
      </c>
      <c r="EA37" s="3">
        <f t="shared" si="239"/>
        <v>147596.94</v>
      </c>
      <c r="EB37" s="51">
        <f t="shared" si="240"/>
        <v>90795.014999999985</v>
      </c>
      <c r="EC37" s="3">
        <f t="shared" si="241"/>
        <v>117427.38303999997</v>
      </c>
      <c r="ED37" s="3">
        <f t="shared" si="242"/>
        <v>149010.61499999996</v>
      </c>
      <c r="EE37" s="51">
        <f t="shared" si="243"/>
        <v>91579.102499999979</v>
      </c>
      <c r="EF37" s="3">
        <f t="shared" si="244"/>
        <v>118560.68173999997</v>
      </c>
      <c r="EG37" s="3">
        <f t="shared" si="245"/>
        <v>150424.28999999998</v>
      </c>
    </row>
    <row r="38" spans="1:137" ht="18.75" x14ac:dyDescent="0.25">
      <c r="A38" s="2" t="s">
        <v>6</v>
      </c>
      <c r="B38" s="2" t="s">
        <v>161</v>
      </c>
      <c r="C38" s="2">
        <f>I1</f>
        <v>16300</v>
      </c>
      <c r="D38" s="2">
        <v>1.647</v>
      </c>
      <c r="E38" s="2">
        <v>1.877</v>
      </c>
      <c r="F38" s="2">
        <v>2.2069999999999999</v>
      </c>
      <c r="G38" s="4">
        <v>1.44</v>
      </c>
      <c r="H38" s="4">
        <v>1.67</v>
      </c>
      <c r="I38" s="89">
        <v>2</v>
      </c>
      <c r="J38" s="97">
        <v>1.647</v>
      </c>
      <c r="K38" s="2">
        <v>1.877</v>
      </c>
      <c r="L38" s="98">
        <v>2.2069999999999999</v>
      </c>
      <c r="M38" s="97">
        <f t="shared" si="126"/>
        <v>1.7470000000000001</v>
      </c>
      <c r="N38" s="2">
        <f t="shared" si="127"/>
        <v>1.9770000000000001</v>
      </c>
      <c r="O38" s="98">
        <f t="shared" si="128"/>
        <v>2.3069999999999999</v>
      </c>
      <c r="P38" s="97">
        <f t="shared" si="129"/>
        <v>1.8470000000000002</v>
      </c>
      <c r="Q38" s="2">
        <f t="shared" si="130"/>
        <v>2.077</v>
      </c>
      <c r="R38" s="98">
        <f t="shared" si="131"/>
        <v>2.407</v>
      </c>
      <c r="S38" s="97">
        <f t="shared" si="132"/>
        <v>1.9470000000000003</v>
      </c>
      <c r="T38" s="2">
        <f t="shared" si="133"/>
        <v>2.177</v>
      </c>
      <c r="U38" s="98">
        <f t="shared" si="134"/>
        <v>2.5070000000000001</v>
      </c>
      <c r="V38" s="97">
        <f t="shared" si="135"/>
        <v>2.0470000000000002</v>
      </c>
      <c r="W38" s="2">
        <f t="shared" si="136"/>
        <v>2.2770000000000001</v>
      </c>
      <c r="X38" s="98">
        <f t="shared" si="137"/>
        <v>2.6070000000000002</v>
      </c>
      <c r="Y38" s="97">
        <f t="shared" si="138"/>
        <v>2.1470000000000002</v>
      </c>
      <c r="Z38" s="2">
        <f t="shared" si="139"/>
        <v>2.3770000000000002</v>
      </c>
      <c r="AA38" s="98">
        <f t="shared" si="140"/>
        <v>2.7070000000000003</v>
      </c>
      <c r="AB38" s="97">
        <f t="shared" si="141"/>
        <v>2.2470000000000003</v>
      </c>
      <c r="AC38" s="2">
        <f t="shared" si="142"/>
        <v>2.4770000000000003</v>
      </c>
      <c r="AD38" s="98">
        <f t="shared" si="143"/>
        <v>2.8070000000000004</v>
      </c>
      <c r="AE38" s="52">
        <v>1.44</v>
      </c>
      <c r="AF38" s="4">
        <v>1.67</v>
      </c>
      <c r="AG38" s="4">
        <v>2</v>
      </c>
      <c r="AH38" s="41">
        <f t="shared" si="144"/>
        <v>1.54</v>
      </c>
      <c r="AI38" s="41">
        <f t="shared" si="145"/>
        <v>1.77</v>
      </c>
      <c r="AJ38" s="41">
        <f t="shared" si="146"/>
        <v>2.1</v>
      </c>
      <c r="AK38" s="41">
        <f t="shared" si="147"/>
        <v>1.6400000000000001</v>
      </c>
      <c r="AL38" s="42">
        <f t="shared" si="148"/>
        <v>1.87</v>
      </c>
      <c r="AM38" s="42">
        <f t="shared" si="149"/>
        <v>2.2000000000000002</v>
      </c>
      <c r="AN38" s="42">
        <f t="shared" si="150"/>
        <v>1.7400000000000002</v>
      </c>
      <c r="AO38" s="42">
        <f t="shared" si="151"/>
        <v>1.9700000000000002</v>
      </c>
      <c r="AP38" s="42">
        <f t="shared" si="152"/>
        <v>2.3000000000000003</v>
      </c>
      <c r="AQ38" s="42">
        <f t="shared" si="153"/>
        <v>1.8400000000000003</v>
      </c>
      <c r="AR38" s="42">
        <f t="shared" si="154"/>
        <v>2.0700000000000003</v>
      </c>
      <c r="AS38" s="42">
        <f t="shared" si="155"/>
        <v>2.4000000000000004</v>
      </c>
      <c r="AT38" s="42">
        <f t="shared" si="156"/>
        <v>1.9400000000000004</v>
      </c>
      <c r="AU38" s="42">
        <f t="shared" si="157"/>
        <v>2.1700000000000004</v>
      </c>
      <c r="AV38" s="42">
        <f t="shared" si="158"/>
        <v>2.5000000000000004</v>
      </c>
      <c r="AW38" s="42">
        <f t="shared" si="159"/>
        <v>2.0400000000000005</v>
      </c>
      <c r="AX38" s="42">
        <f t="shared" si="160"/>
        <v>2.2700000000000005</v>
      </c>
      <c r="AY38" s="47">
        <f t="shared" si="161"/>
        <v>2.6000000000000005</v>
      </c>
      <c r="AZ38" s="51">
        <f t="shared" si="162"/>
        <v>8802</v>
      </c>
      <c r="BA38" s="3">
        <f t="shared" si="163"/>
        <v>15869.842999999999</v>
      </c>
      <c r="BB38" s="3">
        <f t="shared" si="164"/>
        <v>24450</v>
      </c>
      <c r="BC38" s="41">
        <f t="shared" si="165"/>
        <v>9413.25</v>
      </c>
      <c r="BD38" s="41">
        <f t="shared" si="166"/>
        <v>16820.132999999998</v>
      </c>
      <c r="BE38" s="41">
        <f t="shared" si="167"/>
        <v>25672.5</v>
      </c>
      <c r="BF38" s="41">
        <f t="shared" si="168"/>
        <v>10024.500000000002</v>
      </c>
      <c r="BG38" s="42">
        <f t="shared" si="169"/>
        <v>17770.422999999999</v>
      </c>
      <c r="BH38" s="42">
        <f t="shared" si="170"/>
        <v>26895</v>
      </c>
      <c r="BI38" s="42">
        <f t="shared" si="171"/>
        <v>10635.750000000002</v>
      </c>
      <c r="BJ38" s="42">
        <f t="shared" si="172"/>
        <v>18720.713</v>
      </c>
      <c r="BK38" s="42">
        <f t="shared" si="173"/>
        <v>28117.500000000007</v>
      </c>
      <c r="BL38" s="42">
        <f t="shared" si="174"/>
        <v>11247.000000000002</v>
      </c>
      <c r="BM38" s="42">
        <f t="shared" si="175"/>
        <v>19671.003000000004</v>
      </c>
      <c r="BN38" s="42">
        <f t="shared" si="176"/>
        <v>29340.000000000007</v>
      </c>
      <c r="BO38" s="42">
        <f t="shared" si="177"/>
        <v>11858.250000000004</v>
      </c>
      <c r="BP38" s="42">
        <f t="shared" si="178"/>
        <v>20621.293000000001</v>
      </c>
      <c r="BQ38" s="42">
        <f t="shared" si="179"/>
        <v>30562.500000000007</v>
      </c>
      <c r="BR38" s="42">
        <f t="shared" si="180"/>
        <v>12469.500000000004</v>
      </c>
      <c r="BS38" s="42">
        <f t="shared" si="181"/>
        <v>21571.583000000002</v>
      </c>
      <c r="BT38" s="47">
        <f t="shared" si="182"/>
        <v>31785.000000000007</v>
      </c>
      <c r="BU38" s="51">
        <f t="shared" si="183"/>
        <v>2160</v>
      </c>
      <c r="BV38" s="3">
        <f t="shared" si="184"/>
        <v>2505</v>
      </c>
      <c r="BW38" s="3">
        <f t="shared" si="185"/>
        <v>3000</v>
      </c>
      <c r="BX38" s="51">
        <f t="shared" si="186"/>
        <v>2310</v>
      </c>
      <c r="BY38" s="3">
        <f t="shared" si="187"/>
        <v>2655</v>
      </c>
      <c r="BZ38" s="3">
        <f t="shared" si="188"/>
        <v>3150</v>
      </c>
      <c r="CA38" s="51">
        <f t="shared" si="189"/>
        <v>2460</v>
      </c>
      <c r="CB38" s="3">
        <f t="shared" si="190"/>
        <v>2805</v>
      </c>
      <c r="CC38" s="3">
        <f t="shared" si="191"/>
        <v>3300.0000000000005</v>
      </c>
      <c r="CD38" s="51">
        <f t="shared" si="192"/>
        <v>2610.0000000000005</v>
      </c>
      <c r="CE38" s="3">
        <f t="shared" si="193"/>
        <v>2955.0000000000005</v>
      </c>
      <c r="CF38" s="3">
        <f t="shared" si="194"/>
        <v>3450.0000000000005</v>
      </c>
      <c r="CG38" s="51">
        <f t="shared" si="195"/>
        <v>2760.0000000000005</v>
      </c>
      <c r="CH38" s="3">
        <f t="shared" si="196"/>
        <v>3105.0000000000005</v>
      </c>
      <c r="CI38" s="3">
        <f t="shared" si="197"/>
        <v>3600.0000000000005</v>
      </c>
      <c r="CJ38" s="51">
        <f t="shared" si="198"/>
        <v>2910.0000000000005</v>
      </c>
      <c r="CK38" s="3">
        <f t="shared" si="199"/>
        <v>3255.0000000000005</v>
      </c>
      <c r="CL38" s="3">
        <f t="shared" si="200"/>
        <v>3750.0000000000005</v>
      </c>
      <c r="CM38" s="51">
        <f t="shared" si="201"/>
        <v>3060.0000000000009</v>
      </c>
      <c r="CN38" s="3">
        <f t="shared" si="202"/>
        <v>3405.0000000000009</v>
      </c>
      <c r="CO38" s="3">
        <f t="shared" si="203"/>
        <v>3900.0000000000009</v>
      </c>
      <c r="CP38" s="34">
        <v>0.97</v>
      </c>
      <c r="CQ38" s="60">
        <v>29100</v>
      </c>
      <c r="CR38" s="51">
        <f t="shared" si="204"/>
        <v>1201.8599999999999</v>
      </c>
      <c r="CS38" s="3">
        <f t="shared" si="205"/>
        <v>1424.2452900000001</v>
      </c>
      <c r="CT38" s="3">
        <f t="shared" si="206"/>
        <v>1696.5</v>
      </c>
      <c r="CU38" s="51">
        <f t="shared" si="207"/>
        <v>1224.6975</v>
      </c>
      <c r="CV38" s="51">
        <f t="shared" si="208"/>
        <v>1457.2539899999999</v>
      </c>
      <c r="CW38" s="3">
        <f t="shared" si="209"/>
        <v>1737.675</v>
      </c>
      <c r="CX38" s="51">
        <f t="shared" si="210"/>
        <v>1247.5349999999999</v>
      </c>
      <c r="CY38" s="3">
        <f t="shared" si="211"/>
        <v>1490.2626899999998</v>
      </c>
      <c r="CZ38" s="3">
        <f t="shared" si="212"/>
        <v>1778.85</v>
      </c>
      <c r="DA38" s="51">
        <f t="shared" si="213"/>
        <v>1270.3724999999999</v>
      </c>
      <c r="DB38" s="3">
        <f t="shared" si="214"/>
        <v>1523.2713900000001</v>
      </c>
      <c r="DC38" s="3">
        <f t="shared" si="215"/>
        <v>1820.0250000000001</v>
      </c>
      <c r="DD38" s="51">
        <f t="shared" si="216"/>
        <v>1293.21</v>
      </c>
      <c r="DE38" s="3">
        <f t="shared" si="217"/>
        <v>1556.28009</v>
      </c>
      <c r="DF38" s="3">
        <f t="shared" si="218"/>
        <v>1861.2</v>
      </c>
      <c r="DG38" s="51">
        <f t="shared" si="219"/>
        <v>1316.0474999999999</v>
      </c>
      <c r="DH38" s="3">
        <f t="shared" si="220"/>
        <v>1589.2887900000001</v>
      </c>
      <c r="DI38" s="3">
        <f t="shared" si="221"/>
        <v>1902.3750000000002</v>
      </c>
      <c r="DJ38" s="51">
        <f t="shared" si="222"/>
        <v>1338.885</v>
      </c>
      <c r="DK38" s="3">
        <f t="shared" si="223"/>
        <v>1622.2974899999999</v>
      </c>
      <c r="DL38" s="3">
        <f t="shared" si="224"/>
        <v>1943.5500000000002</v>
      </c>
      <c r="DM38" s="51">
        <f t="shared" si="225"/>
        <v>41263.86</v>
      </c>
      <c r="DN38" s="3">
        <f t="shared" si="226"/>
        <v>48899.08829</v>
      </c>
      <c r="DO38" s="3">
        <f t="shared" si="227"/>
        <v>58246.5</v>
      </c>
      <c r="DP38" s="51">
        <f t="shared" si="228"/>
        <v>42047.947500000002</v>
      </c>
      <c r="DQ38" s="51">
        <f t="shared" si="229"/>
        <v>50032.386989999999</v>
      </c>
      <c r="DR38" s="3">
        <f t="shared" si="230"/>
        <v>59660.175000000003</v>
      </c>
      <c r="DS38" s="51">
        <f t="shared" si="231"/>
        <v>42832.035000000003</v>
      </c>
      <c r="DT38" s="3">
        <f t="shared" si="232"/>
        <v>51165.685689999998</v>
      </c>
      <c r="DU38" s="3">
        <f t="shared" si="233"/>
        <v>61073.85</v>
      </c>
      <c r="DV38" s="51">
        <f t="shared" si="234"/>
        <v>43616.122499999998</v>
      </c>
      <c r="DW38" s="3">
        <f t="shared" si="235"/>
        <v>52298.984390000005</v>
      </c>
      <c r="DX38" s="3">
        <f t="shared" si="236"/>
        <v>62487.525000000009</v>
      </c>
      <c r="DY38" s="51">
        <f t="shared" si="237"/>
        <v>44400.21</v>
      </c>
      <c r="DZ38" s="3">
        <f t="shared" si="238"/>
        <v>53432.283090000004</v>
      </c>
      <c r="EA38" s="3">
        <f t="shared" si="239"/>
        <v>63901.200000000004</v>
      </c>
      <c r="EB38" s="51">
        <f t="shared" si="240"/>
        <v>45184.297500000001</v>
      </c>
      <c r="EC38" s="3">
        <f t="shared" si="241"/>
        <v>54565.581790000004</v>
      </c>
      <c r="ED38" s="3">
        <f t="shared" si="242"/>
        <v>65314.875000000007</v>
      </c>
      <c r="EE38" s="51">
        <f t="shared" si="243"/>
        <v>45968.385000000002</v>
      </c>
      <c r="EF38" s="3">
        <f t="shared" si="244"/>
        <v>55698.880489999996</v>
      </c>
      <c r="EG38" s="3">
        <f t="shared" si="245"/>
        <v>66728.55</v>
      </c>
    </row>
    <row r="39" spans="1:137" ht="18.75" x14ac:dyDescent="0.25">
      <c r="A39" s="2" t="s">
        <v>6</v>
      </c>
      <c r="B39" s="2" t="s">
        <v>164</v>
      </c>
      <c r="C39" s="2">
        <f>I1</f>
        <v>16300</v>
      </c>
      <c r="D39" s="2">
        <v>6.97</v>
      </c>
      <c r="E39" s="2">
        <v>8.06</v>
      </c>
      <c r="F39" s="2">
        <v>9.6</v>
      </c>
      <c r="G39" s="4">
        <v>6.74</v>
      </c>
      <c r="H39" s="4">
        <v>7.83</v>
      </c>
      <c r="I39" s="89">
        <v>9.3699999999999992</v>
      </c>
      <c r="J39" s="97">
        <v>6.97</v>
      </c>
      <c r="K39" s="2">
        <v>8.06</v>
      </c>
      <c r="L39" s="98">
        <v>9.6</v>
      </c>
      <c r="M39" s="97">
        <f t="shared" si="126"/>
        <v>7.0699999999999994</v>
      </c>
      <c r="N39" s="2">
        <f t="shared" si="127"/>
        <v>8.16</v>
      </c>
      <c r="O39" s="98">
        <f t="shared" si="128"/>
        <v>9.6999999999999993</v>
      </c>
      <c r="P39" s="97">
        <f t="shared" si="129"/>
        <v>7.169999999999999</v>
      </c>
      <c r="Q39" s="2">
        <f t="shared" si="130"/>
        <v>8.26</v>
      </c>
      <c r="R39" s="98">
        <f t="shared" si="131"/>
        <v>9.7999999999999989</v>
      </c>
      <c r="S39" s="97">
        <f t="shared" si="132"/>
        <v>7.2699999999999987</v>
      </c>
      <c r="T39" s="2">
        <f t="shared" si="133"/>
        <v>8.36</v>
      </c>
      <c r="U39" s="98">
        <f t="shared" si="134"/>
        <v>9.8999999999999986</v>
      </c>
      <c r="V39" s="97">
        <f t="shared" si="135"/>
        <v>7.3699999999999983</v>
      </c>
      <c r="W39" s="2">
        <f t="shared" si="136"/>
        <v>8.4599999999999991</v>
      </c>
      <c r="X39" s="98">
        <f t="shared" si="137"/>
        <v>9.9999999999999982</v>
      </c>
      <c r="Y39" s="97">
        <f t="shared" si="138"/>
        <v>7.469999999999998</v>
      </c>
      <c r="Z39" s="2">
        <f t="shared" si="139"/>
        <v>8.5599999999999987</v>
      </c>
      <c r="AA39" s="98">
        <f t="shared" si="140"/>
        <v>10.099999999999998</v>
      </c>
      <c r="AB39" s="97">
        <f t="shared" si="141"/>
        <v>7.5699999999999976</v>
      </c>
      <c r="AC39" s="2">
        <f t="shared" si="142"/>
        <v>8.6599999999999984</v>
      </c>
      <c r="AD39" s="98">
        <f t="shared" si="143"/>
        <v>10.199999999999998</v>
      </c>
      <c r="AE39" s="52">
        <v>6.74</v>
      </c>
      <c r="AF39" s="4">
        <v>7.83</v>
      </c>
      <c r="AG39" s="4">
        <v>9.3699999999999992</v>
      </c>
      <c r="AH39" s="41">
        <f t="shared" si="144"/>
        <v>6.84</v>
      </c>
      <c r="AI39" s="41">
        <f t="shared" si="145"/>
        <v>7.93</v>
      </c>
      <c r="AJ39" s="41">
        <f t="shared" si="146"/>
        <v>9.4699999999999989</v>
      </c>
      <c r="AK39" s="41">
        <f t="shared" si="147"/>
        <v>6.9399999999999995</v>
      </c>
      <c r="AL39" s="42">
        <f t="shared" si="148"/>
        <v>8.0299999999999994</v>
      </c>
      <c r="AM39" s="42">
        <f t="shared" si="149"/>
        <v>9.5699999999999985</v>
      </c>
      <c r="AN39" s="42">
        <f t="shared" si="150"/>
        <v>7.0399999999999991</v>
      </c>
      <c r="AO39" s="42">
        <f t="shared" si="151"/>
        <v>8.129999999999999</v>
      </c>
      <c r="AP39" s="42">
        <f t="shared" si="152"/>
        <v>9.6699999999999982</v>
      </c>
      <c r="AQ39" s="42">
        <f t="shared" si="153"/>
        <v>7.1399999999999988</v>
      </c>
      <c r="AR39" s="42">
        <f t="shared" si="154"/>
        <v>8.2299999999999986</v>
      </c>
      <c r="AS39" s="42">
        <f t="shared" si="155"/>
        <v>9.7699999999999978</v>
      </c>
      <c r="AT39" s="42">
        <f t="shared" si="156"/>
        <v>7.2399999999999984</v>
      </c>
      <c r="AU39" s="42">
        <f t="shared" si="157"/>
        <v>8.3299999999999983</v>
      </c>
      <c r="AV39" s="42">
        <f t="shared" si="158"/>
        <v>9.8699999999999974</v>
      </c>
      <c r="AW39" s="42">
        <f t="shared" si="159"/>
        <v>7.3399999999999981</v>
      </c>
      <c r="AX39" s="42">
        <f t="shared" si="160"/>
        <v>8.4299999999999979</v>
      </c>
      <c r="AY39" s="47">
        <f t="shared" si="161"/>
        <v>9.9699999999999971</v>
      </c>
      <c r="AZ39" s="51">
        <f t="shared" si="162"/>
        <v>41198.25</v>
      </c>
      <c r="BA39" s="3">
        <f t="shared" si="163"/>
        <v>74407.706999999995</v>
      </c>
      <c r="BB39" s="3">
        <f t="shared" si="164"/>
        <v>114548.25</v>
      </c>
      <c r="BC39" s="41">
        <f t="shared" si="165"/>
        <v>41809.5</v>
      </c>
      <c r="BD39" s="41">
        <f t="shared" si="166"/>
        <v>75357.996999999988</v>
      </c>
      <c r="BE39" s="41">
        <f t="shared" si="167"/>
        <v>115770.74999999997</v>
      </c>
      <c r="BF39" s="41">
        <f t="shared" si="168"/>
        <v>42420.749999999993</v>
      </c>
      <c r="BG39" s="42">
        <f t="shared" si="169"/>
        <v>76308.286999999982</v>
      </c>
      <c r="BH39" s="42">
        <f t="shared" si="170"/>
        <v>116993.24999999997</v>
      </c>
      <c r="BI39" s="42">
        <f t="shared" si="171"/>
        <v>43031.999999999993</v>
      </c>
      <c r="BJ39" s="42">
        <f t="shared" si="172"/>
        <v>77258.576999999976</v>
      </c>
      <c r="BK39" s="42">
        <f t="shared" si="173"/>
        <v>118215.74999999997</v>
      </c>
      <c r="BL39" s="42">
        <f t="shared" si="174"/>
        <v>43643.249999999993</v>
      </c>
      <c r="BM39" s="42">
        <f t="shared" si="175"/>
        <v>78208.866999999984</v>
      </c>
      <c r="BN39" s="42">
        <f t="shared" si="176"/>
        <v>119438.24999999997</v>
      </c>
      <c r="BO39" s="42">
        <f t="shared" si="177"/>
        <v>44254.499999999985</v>
      </c>
      <c r="BP39" s="42">
        <f t="shared" si="178"/>
        <v>79159.156999999977</v>
      </c>
      <c r="BQ39" s="42">
        <f t="shared" si="179"/>
        <v>120660.74999999997</v>
      </c>
      <c r="BR39" s="42">
        <f t="shared" si="180"/>
        <v>44865.749999999985</v>
      </c>
      <c r="BS39" s="42">
        <f t="shared" si="181"/>
        <v>80109.446999999971</v>
      </c>
      <c r="BT39" s="47">
        <f t="shared" si="182"/>
        <v>121883.24999999996</v>
      </c>
      <c r="BU39" s="51">
        <f t="shared" si="183"/>
        <v>10110</v>
      </c>
      <c r="BV39" s="3">
        <f t="shared" si="184"/>
        <v>11745</v>
      </c>
      <c r="BW39" s="3">
        <f t="shared" si="185"/>
        <v>14054.999999999998</v>
      </c>
      <c r="BX39" s="51">
        <f t="shared" si="186"/>
        <v>10260</v>
      </c>
      <c r="BY39" s="3">
        <f t="shared" si="187"/>
        <v>11895</v>
      </c>
      <c r="BZ39" s="3">
        <f t="shared" si="188"/>
        <v>14204.999999999998</v>
      </c>
      <c r="CA39" s="51">
        <f t="shared" si="189"/>
        <v>10410</v>
      </c>
      <c r="CB39" s="3">
        <f t="shared" si="190"/>
        <v>12044.999999999998</v>
      </c>
      <c r="CC39" s="3">
        <f t="shared" si="191"/>
        <v>14354.999999999998</v>
      </c>
      <c r="CD39" s="51">
        <f t="shared" si="192"/>
        <v>10559.999999999998</v>
      </c>
      <c r="CE39" s="3">
        <f t="shared" si="193"/>
        <v>12194.999999999998</v>
      </c>
      <c r="CF39" s="3">
        <f t="shared" si="194"/>
        <v>14504.999999999996</v>
      </c>
      <c r="CG39" s="51">
        <f t="shared" si="195"/>
        <v>10709.999999999998</v>
      </c>
      <c r="CH39" s="3">
        <f t="shared" si="196"/>
        <v>12344.999999999998</v>
      </c>
      <c r="CI39" s="3">
        <f t="shared" si="197"/>
        <v>14654.999999999996</v>
      </c>
      <c r="CJ39" s="51">
        <f t="shared" si="198"/>
        <v>10859.999999999998</v>
      </c>
      <c r="CK39" s="3">
        <f t="shared" si="199"/>
        <v>12494.999999999998</v>
      </c>
      <c r="CL39" s="3">
        <f t="shared" si="200"/>
        <v>14804.999999999996</v>
      </c>
      <c r="CM39" s="51">
        <f t="shared" si="201"/>
        <v>11009.999999999996</v>
      </c>
      <c r="CN39" s="3">
        <f t="shared" si="202"/>
        <v>12644.999999999996</v>
      </c>
      <c r="CO39" s="3">
        <f t="shared" si="203"/>
        <v>14954.999999999996</v>
      </c>
      <c r="CP39" s="34">
        <v>1.01</v>
      </c>
      <c r="CQ39" s="60">
        <v>30300</v>
      </c>
      <c r="CR39" s="51">
        <f t="shared" si="204"/>
        <v>2448.2474999999999</v>
      </c>
      <c r="CS39" s="3">
        <f t="shared" si="205"/>
        <v>3493.5812099999998</v>
      </c>
      <c r="CT39" s="3">
        <f t="shared" si="206"/>
        <v>4767.0974999999999</v>
      </c>
      <c r="CU39" s="51">
        <f t="shared" si="207"/>
        <v>2471.085</v>
      </c>
      <c r="CV39" s="51">
        <f t="shared" si="208"/>
        <v>3526.5899099999997</v>
      </c>
      <c r="CW39" s="3">
        <f t="shared" si="209"/>
        <v>4808.2724999999991</v>
      </c>
      <c r="CX39" s="51">
        <f t="shared" si="210"/>
        <v>2493.9225000000001</v>
      </c>
      <c r="CY39" s="3">
        <f t="shared" si="211"/>
        <v>3559.5986099999996</v>
      </c>
      <c r="CZ39" s="3">
        <f t="shared" si="212"/>
        <v>4849.4474999999993</v>
      </c>
      <c r="DA39" s="51">
        <f t="shared" si="213"/>
        <v>2516.7599999999998</v>
      </c>
      <c r="DB39" s="3">
        <f t="shared" si="214"/>
        <v>3592.607309999999</v>
      </c>
      <c r="DC39" s="3">
        <f t="shared" si="215"/>
        <v>4890.6224999999986</v>
      </c>
      <c r="DD39" s="51">
        <f t="shared" si="216"/>
        <v>2539.5974999999999</v>
      </c>
      <c r="DE39" s="3">
        <f t="shared" si="217"/>
        <v>3625.6160099999993</v>
      </c>
      <c r="DF39" s="3">
        <f t="shared" si="218"/>
        <v>4931.7974999999988</v>
      </c>
      <c r="DG39" s="51">
        <f t="shared" si="219"/>
        <v>2562.4349999999995</v>
      </c>
      <c r="DH39" s="3">
        <f t="shared" si="220"/>
        <v>3658.6247099999991</v>
      </c>
      <c r="DI39" s="3">
        <f t="shared" si="221"/>
        <v>4972.9724999999989</v>
      </c>
      <c r="DJ39" s="51">
        <f t="shared" si="222"/>
        <v>2585.2724999999996</v>
      </c>
      <c r="DK39" s="3">
        <f t="shared" si="223"/>
        <v>3691.633409999999</v>
      </c>
      <c r="DL39" s="3">
        <f t="shared" si="224"/>
        <v>5014.1474999999982</v>
      </c>
      <c r="DM39" s="51">
        <f t="shared" si="225"/>
        <v>84056.497499999998</v>
      </c>
      <c r="DN39" s="3">
        <f t="shared" si="226"/>
        <v>119946.28821</v>
      </c>
      <c r="DO39" s="3">
        <f t="shared" si="227"/>
        <v>163670.3475</v>
      </c>
      <c r="DP39" s="51">
        <f t="shared" si="228"/>
        <v>84840.585000000006</v>
      </c>
      <c r="DQ39" s="51">
        <f t="shared" si="229"/>
        <v>121079.58690999998</v>
      </c>
      <c r="DR39" s="3">
        <f t="shared" si="230"/>
        <v>165084.02249999996</v>
      </c>
      <c r="DS39" s="51">
        <f t="shared" si="231"/>
        <v>85624.672500000001</v>
      </c>
      <c r="DT39" s="3">
        <f t="shared" si="232"/>
        <v>122212.88560999998</v>
      </c>
      <c r="DU39" s="3">
        <f t="shared" si="233"/>
        <v>166497.69749999998</v>
      </c>
      <c r="DV39" s="51">
        <f t="shared" si="234"/>
        <v>86408.76</v>
      </c>
      <c r="DW39" s="3">
        <f t="shared" si="235"/>
        <v>123346.18430999997</v>
      </c>
      <c r="DX39" s="3">
        <f t="shared" si="236"/>
        <v>167911.37249999997</v>
      </c>
      <c r="DY39" s="51">
        <f t="shared" si="237"/>
        <v>87192.847500000003</v>
      </c>
      <c r="DZ39" s="3">
        <f t="shared" si="238"/>
        <v>124479.48300999998</v>
      </c>
      <c r="EA39" s="3">
        <f t="shared" si="239"/>
        <v>169325.04749999996</v>
      </c>
      <c r="EB39" s="51">
        <f t="shared" si="240"/>
        <v>87976.934999999983</v>
      </c>
      <c r="EC39" s="3">
        <f t="shared" si="241"/>
        <v>125612.78170999998</v>
      </c>
      <c r="ED39" s="3">
        <f t="shared" si="242"/>
        <v>170738.72249999997</v>
      </c>
      <c r="EE39" s="51">
        <f t="shared" si="243"/>
        <v>88761.022499999992</v>
      </c>
      <c r="EF39" s="3">
        <f t="shared" si="244"/>
        <v>126746.08040999997</v>
      </c>
      <c r="EG39" s="3">
        <f t="shared" si="245"/>
        <v>172152.39749999993</v>
      </c>
    </row>
    <row r="40" spans="1:137" ht="18.75" x14ac:dyDescent="0.25">
      <c r="A40" s="2" t="s">
        <v>6</v>
      </c>
      <c r="B40" s="2" t="s">
        <v>167</v>
      </c>
      <c r="C40" s="2">
        <f>I1</f>
        <v>16300</v>
      </c>
      <c r="D40" s="2">
        <v>6.47</v>
      </c>
      <c r="E40" s="2">
        <v>7.49</v>
      </c>
      <c r="F40" s="2">
        <v>8.92</v>
      </c>
      <c r="G40" s="4">
        <v>6.25</v>
      </c>
      <c r="H40" s="4">
        <v>7.27</v>
      </c>
      <c r="I40" s="89">
        <v>8.6999999999999993</v>
      </c>
      <c r="J40" s="97">
        <v>6.47</v>
      </c>
      <c r="K40" s="2">
        <v>7.49</v>
      </c>
      <c r="L40" s="98">
        <v>8.92</v>
      </c>
      <c r="M40" s="97">
        <f t="shared" si="126"/>
        <v>6.5699999999999994</v>
      </c>
      <c r="N40" s="2">
        <f t="shared" si="127"/>
        <v>7.59</v>
      </c>
      <c r="O40" s="98">
        <f t="shared" si="128"/>
        <v>9.02</v>
      </c>
      <c r="P40" s="97">
        <f t="shared" si="129"/>
        <v>6.669999999999999</v>
      </c>
      <c r="Q40" s="2">
        <f t="shared" si="130"/>
        <v>7.6899999999999995</v>
      </c>
      <c r="R40" s="98">
        <f t="shared" si="131"/>
        <v>9.1199999999999992</v>
      </c>
      <c r="S40" s="97">
        <f t="shared" si="132"/>
        <v>6.7699999999999987</v>
      </c>
      <c r="T40" s="2">
        <f t="shared" si="133"/>
        <v>7.7899999999999991</v>
      </c>
      <c r="U40" s="98">
        <f t="shared" si="134"/>
        <v>9.2199999999999989</v>
      </c>
      <c r="V40" s="97">
        <f t="shared" si="135"/>
        <v>6.8699999999999983</v>
      </c>
      <c r="W40" s="2">
        <f t="shared" si="136"/>
        <v>7.8899999999999988</v>
      </c>
      <c r="X40" s="98">
        <f t="shared" si="137"/>
        <v>9.3199999999999985</v>
      </c>
      <c r="Y40" s="97">
        <f t="shared" si="138"/>
        <v>6.969999999999998</v>
      </c>
      <c r="Z40" s="2">
        <f t="shared" si="139"/>
        <v>7.9899999999999984</v>
      </c>
      <c r="AA40" s="98">
        <f t="shared" si="140"/>
        <v>9.4199999999999982</v>
      </c>
      <c r="AB40" s="97">
        <f t="shared" si="141"/>
        <v>7.0699999999999976</v>
      </c>
      <c r="AC40" s="2">
        <f t="shared" si="142"/>
        <v>8.0899999999999981</v>
      </c>
      <c r="AD40" s="98">
        <f t="shared" si="143"/>
        <v>9.5199999999999978</v>
      </c>
      <c r="AE40" s="52">
        <v>6.25</v>
      </c>
      <c r="AF40" s="4">
        <v>7.27</v>
      </c>
      <c r="AG40" s="4">
        <v>8.6999999999999993</v>
      </c>
      <c r="AH40" s="41">
        <f t="shared" si="144"/>
        <v>6.35</v>
      </c>
      <c r="AI40" s="41">
        <f t="shared" si="145"/>
        <v>7.3699999999999992</v>
      </c>
      <c r="AJ40" s="41">
        <f t="shared" si="146"/>
        <v>8.7999999999999989</v>
      </c>
      <c r="AK40" s="41">
        <f t="shared" si="147"/>
        <v>6.4499999999999993</v>
      </c>
      <c r="AL40" s="42">
        <f t="shared" si="148"/>
        <v>7.4699999999999989</v>
      </c>
      <c r="AM40" s="42">
        <f t="shared" si="149"/>
        <v>8.8999999999999986</v>
      </c>
      <c r="AN40" s="42">
        <f t="shared" si="150"/>
        <v>6.5499999999999989</v>
      </c>
      <c r="AO40" s="42">
        <f t="shared" si="151"/>
        <v>7.5699999999999985</v>
      </c>
      <c r="AP40" s="42">
        <f t="shared" si="152"/>
        <v>8.9999999999999982</v>
      </c>
      <c r="AQ40" s="42">
        <f t="shared" si="153"/>
        <v>6.6499999999999986</v>
      </c>
      <c r="AR40" s="42">
        <f t="shared" si="154"/>
        <v>7.6699999999999982</v>
      </c>
      <c r="AS40" s="42">
        <f t="shared" si="155"/>
        <v>9.0999999999999979</v>
      </c>
      <c r="AT40" s="42">
        <f t="shared" si="156"/>
        <v>6.7499999999999982</v>
      </c>
      <c r="AU40" s="42">
        <f t="shared" si="157"/>
        <v>7.7699999999999978</v>
      </c>
      <c r="AV40" s="42">
        <f t="shared" si="158"/>
        <v>9.1999999999999975</v>
      </c>
      <c r="AW40" s="42">
        <f t="shared" si="159"/>
        <v>6.8499999999999979</v>
      </c>
      <c r="AX40" s="42">
        <f t="shared" si="160"/>
        <v>7.8699999999999974</v>
      </c>
      <c r="AY40" s="47">
        <f t="shared" si="161"/>
        <v>9.2999999999999972</v>
      </c>
      <c r="AZ40" s="51">
        <f t="shared" si="162"/>
        <v>38203.125</v>
      </c>
      <c r="BA40" s="3">
        <f t="shared" si="163"/>
        <v>69086.082999999999</v>
      </c>
      <c r="BB40" s="3">
        <f t="shared" si="164"/>
        <v>106357.5</v>
      </c>
      <c r="BC40" s="41">
        <f t="shared" si="165"/>
        <v>38814.375</v>
      </c>
      <c r="BD40" s="41">
        <f t="shared" si="166"/>
        <v>70036.372999999992</v>
      </c>
      <c r="BE40" s="41">
        <f t="shared" si="167"/>
        <v>107579.99999999997</v>
      </c>
      <c r="BF40" s="41">
        <f t="shared" si="168"/>
        <v>39425.624999999993</v>
      </c>
      <c r="BG40" s="42">
        <f t="shared" si="169"/>
        <v>70986.662999999986</v>
      </c>
      <c r="BH40" s="42">
        <f t="shared" si="170"/>
        <v>108802.49999999997</v>
      </c>
      <c r="BI40" s="42">
        <f t="shared" si="171"/>
        <v>40036.874999999993</v>
      </c>
      <c r="BJ40" s="42">
        <f t="shared" si="172"/>
        <v>71936.95299999998</v>
      </c>
      <c r="BK40" s="42">
        <f t="shared" si="173"/>
        <v>110024.99999999997</v>
      </c>
      <c r="BL40" s="42">
        <f t="shared" si="174"/>
        <v>40648.124999999985</v>
      </c>
      <c r="BM40" s="42">
        <f t="shared" si="175"/>
        <v>72887.242999999973</v>
      </c>
      <c r="BN40" s="42">
        <f t="shared" si="176"/>
        <v>111247.49999999997</v>
      </c>
      <c r="BO40" s="42">
        <f t="shared" si="177"/>
        <v>41259.374999999985</v>
      </c>
      <c r="BP40" s="42">
        <f t="shared" si="178"/>
        <v>73837.532999999981</v>
      </c>
      <c r="BQ40" s="42">
        <f t="shared" si="179"/>
        <v>112469.99999999997</v>
      </c>
      <c r="BR40" s="42">
        <f t="shared" si="180"/>
        <v>41870.624999999985</v>
      </c>
      <c r="BS40" s="42">
        <f t="shared" si="181"/>
        <v>74787.822999999975</v>
      </c>
      <c r="BT40" s="47">
        <f t="shared" si="182"/>
        <v>113692.49999999996</v>
      </c>
      <c r="BU40" s="51">
        <f t="shared" si="183"/>
        <v>9375</v>
      </c>
      <c r="BV40" s="3">
        <f t="shared" si="184"/>
        <v>10905</v>
      </c>
      <c r="BW40" s="3">
        <f t="shared" si="185"/>
        <v>13049.999999999998</v>
      </c>
      <c r="BX40" s="51">
        <f t="shared" si="186"/>
        <v>9525</v>
      </c>
      <c r="BY40" s="3">
        <f t="shared" si="187"/>
        <v>11054.999999999998</v>
      </c>
      <c r="BZ40" s="3">
        <f t="shared" si="188"/>
        <v>13199.999999999998</v>
      </c>
      <c r="CA40" s="51">
        <f t="shared" si="189"/>
        <v>9674.9999999999982</v>
      </c>
      <c r="CB40" s="3">
        <f t="shared" si="190"/>
        <v>11204.999999999998</v>
      </c>
      <c r="CC40" s="3">
        <f t="shared" si="191"/>
        <v>13349.999999999998</v>
      </c>
      <c r="CD40" s="51">
        <f t="shared" si="192"/>
        <v>9824.9999999999982</v>
      </c>
      <c r="CE40" s="3">
        <f t="shared" si="193"/>
        <v>11354.999999999998</v>
      </c>
      <c r="CF40" s="3">
        <f t="shared" si="194"/>
        <v>13499.999999999998</v>
      </c>
      <c r="CG40" s="51">
        <f t="shared" si="195"/>
        <v>9974.9999999999982</v>
      </c>
      <c r="CH40" s="3">
        <f t="shared" si="196"/>
        <v>11504.999999999996</v>
      </c>
      <c r="CI40" s="3">
        <f t="shared" si="197"/>
        <v>13649.999999999996</v>
      </c>
      <c r="CJ40" s="51">
        <f t="shared" si="198"/>
        <v>10124.999999999998</v>
      </c>
      <c r="CK40" s="3">
        <f t="shared" si="199"/>
        <v>11654.999999999996</v>
      </c>
      <c r="CL40" s="3">
        <f t="shared" si="200"/>
        <v>13799.999999999996</v>
      </c>
      <c r="CM40" s="51">
        <f t="shared" si="201"/>
        <v>10274.999999999996</v>
      </c>
      <c r="CN40" s="3">
        <f t="shared" si="202"/>
        <v>11804.999999999996</v>
      </c>
      <c r="CO40" s="3">
        <f t="shared" si="203"/>
        <v>13949.999999999996</v>
      </c>
      <c r="CP40" s="34">
        <v>1.07</v>
      </c>
      <c r="CQ40" s="60">
        <v>32100.000000000004</v>
      </c>
      <c r="CR40" s="51">
        <f t="shared" si="204"/>
        <v>2390.34375</v>
      </c>
      <c r="CS40" s="3">
        <f t="shared" si="205"/>
        <v>3362.7324899999999</v>
      </c>
      <c r="CT40" s="3">
        <f t="shared" si="206"/>
        <v>4545.2249999999995</v>
      </c>
      <c r="CU40" s="51">
        <f t="shared" si="207"/>
        <v>2413.1812500000001</v>
      </c>
      <c r="CV40" s="51">
        <f t="shared" si="208"/>
        <v>3395.7411899999997</v>
      </c>
      <c r="CW40" s="3">
        <f t="shared" si="209"/>
        <v>4586.3999999999987</v>
      </c>
      <c r="CX40" s="51">
        <f t="shared" si="210"/>
        <v>2436.0187499999997</v>
      </c>
      <c r="CY40" s="3">
        <f t="shared" si="211"/>
        <v>3428.7498899999996</v>
      </c>
      <c r="CZ40" s="3">
        <f t="shared" si="212"/>
        <v>4627.5749999999989</v>
      </c>
      <c r="DA40" s="51">
        <f t="shared" si="213"/>
        <v>2458.8562499999998</v>
      </c>
      <c r="DB40" s="3">
        <f t="shared" si="214"/>
        <v>3461.7585899999995</v>
      </c>
      <c r="DC40" s="3">
        <f t="shared" si="215"/>
        <v>4668.7499999999991</v>
      </c>
      <c r="DD40" s="51">
        <f t="shared" si="216"/>
        <v>2481.6937499999995</v>
      </c>
      <c r="DE40" s="3">
        <f t="shared" si="217"/>
        <v>3494.7672899999989</v>
      </c>
      <c r="DF40" s="3">
        <f t="shared" si="218"/>
        <v>4709.9249999999993</v>
      </c>
      <c r="DG40" s="51">
        <f t="shared" si="219"/>
        <v>2504.5312499999995</v>
      </c>
      <c r="DH40" s="3">
        <f t="shared" si="220"/>
        <v>3527.7759899999992</v>
      </c>
      <c r="DI40" s="3">
        <f t="shared" si="221"/>
        <v>4751.0999999999985</v>
      </c>
      <c r="DJ40" s="51">
        <f t="shared" si="222"/>
        <v>2527.3687499999996</v>
      </c>
      <c r="DK40" s="3">
        <f t="shared" si="223"/>
        <v>3560.784689999999</v>
      </c>
      <c r="DL40" s="3">
        <f t="shared" si="224"/>
        <v>4792.2749999999987</v>
      </c>
      <c r="DM40" s="51">
        <f t="shared" si="225"/>
        <v>82068.46875</v>
      </c>
      <c r="DN40" s="3">
        <f t="shared" si="226"/>
        <v>115453.81548999999</v>
      </c>
      <c r="DO40" s="3">
        <f t="shared" si="227"/>
        <v>156052.72500000001</v>
      </c>
      <c r="DP40" s="51">
        <f t="shared" si="228"/>
        <v>82852.556249999994</v>
      </c>
      <c r="DQ40" s="51">
        <f t="shared" si="229"/>
        <v>116587.11418999999</v>
      </c>
      <c r="DR40" s="3">
        <f t="shared" si="230"/>
        <v>157466.39999999997</v>
      </c>
      <c r="DS40" s="51">
        <f t="shared" si="231"/>
        <v>83636.643750000003</v>
      </c>
      <c r="DT40" s="3">
        <f t="shared" si="232"/>
        <v>117720.41288999999</v>
      </c>
      <c r="DU40" s="3">
        <f t="shared" si="233"/>
        <v>158880.07499999998</v>
      </c>
      <c r="DV40" s="51">
        <f t="shared" si="234"/>
        <v>84420.731249999997</v>
      </c>
      <c r="DW40" s="3">
        <f t="shared" si="235"/>
        <v>118853.71158999998</v>
      </c>
      <c r="DX40" s="3">
        <f t="shared" si="236"/>
        <v>160293.74999999997</v>
      </c>
      <c r="DY40" s="51">
        <f t="shared" si="237"/>
        <v>85204.818749999991</v>
      </c>
      <c r="DZ40" s="3">
        <f t="shared" si="238"/>
        <v>119987.01028999998</v>
      </c>
      <c r="EA40" s="3">
        <f t="shared" si="239"/>
        <v>161707.42499999996</v>
      </c>
      <c r="EB40" s="51">
        <f t="shared" si="240"/>
        <v>85988.906249999985</v>
      </c>
      <c r="EC40" s="3">
        <f t="shared" si="241"/>
        <v>121120.30898999998</v>
      </c>
      <c r="ED40" s="3">
        <f t="shared" si="242"/>
        <v>163121.09999999998</v>
      </c>
      <c r="EE40" s="51">
        <f t="shared" si="243"/>
        <v>86772.99374999998</v>
      </c>
      <c r="EF40" s="3">
        <f t="shared" si="244"/>
        <v>122253.60768999998</v>
      </c>
      <c r="EG40" s="3">
        <f t="shared" si="245"/>
        <v>164534.77499999997</v>
      </c>
    </row>
    <row r="41" spans="1:137" ht="18.75" x14ac:dyDescent="0.25">
      <c r="A41" s="2" t="s">
        <v>6</v>
      </c>
      <c r="B41" s="2" t="s">
        <v>170</v>
      </c>
      <c r="C41" s="2">
        <f>I1</f>
        <v>16300</v>
      </c>
      <c r="D41" s="2">
        <v>1.6</v>
      </c>
      <c r="E41" s="2">
        <v>1.82</v>
      </c>
      <c r="F41" s="2">
        <v>2.14</v>
      </c>
      <c r="G41" s="4">
        <v>1.4</v>
      </c>
      <c r="H41" s="4">
        <v>1.62</v>
      </c>
      <c r="I41" s="89">
        <v>1.94</v>
      </c>
      <c r="J41" s="97">
        <v>1.6</v>
      </c>
      <c r="K41" s="2">
        <v>1.82</v>
      </c>
      <c r="L41" s="98">
        <v>2.14</v>
      </c>
      <c r="M41" s="97">
        <f t="shared" si="126"/>
        <v>1.7000000000000002</v>
      </c>
      <c r="N41" s="2">
        <f t="shared" si="127"/>
        <v>1.9200000000000002</v>
      </c>
      <c r="O41" s="98">
        <f t="shared" si="128"/>
        <v>2.2400000000000002</v>
      </c>
      <c r="P41" s="97">
        <f t="shared" si="129"/>
        <v>1.8000000000000003</v>
      </c>
      <c r="Q41" s="2">
        <f t="shared" si="130"/>
        <v>2.02</v>
      </c>
      <c r="R41" s="98">
        <f t="shared" si="131"/>
        <v>2.3400000000000003</v>
      </c>
      <c r="S41" s="97">
        <f t="shared" si="132"/>
        <v>1.9000000000000004</v>
      </c>
      <c r="T41" s="2">
        <f t="shared" si="133"/>
        <v>2.12</v>
      </c>
      <c r="U41" s="98">
        <f t="shared" si="134"/>
        <v>2.4400000000000004</v>
      </c>
      <c r="V41" s="97">
        <f t="shared" si="135"/>
        <v>2.0000000000000004</v>
      </c>
      <c r="W41" s="2">
        <f t="shared" si="136"/>
        <v>2.2200000000000002</v>
      </c>
      <c r="X41" s="98">
        <f t="shared" si="137"/>
        <v>2.5400000000000005</v>
      </c>
      <c r="Y41" s="97">
        <f t="shared" si="138"/>
        <v>2.1000000000000005</v>
      </c>
      <c r="Z41" s="2">
        <f t="shared" si="139"/>
        <v>2.3200000000000003</v>
      </c>
      <c r="AA41" s="98">
        <f t="shared" si="140"/>
        <v>2.6400000000000006</v>
      </c>
      <c r="AB41" s="97">
        <f t="shared" si="141"/>
        <v>2.2000000000000006</v>
      </c>
      <c r="AC41" s="2">
        <f t="shared" si="142"/>
        <v>2.4200000000000004</v>
      </c>
      <c r="AD41" s="98">
        <f t="shared" si="143"/>
        <v>2.7400000000000007</v>
      </c>
      <c r="AE41" s="52">
        <v>1.4</v>
      </c>
      <c r="AF41" s="4">
        <v>1.62</v>
      </c>
      <c r="AG41" s="4">
        <v>1.94</v>
      </c>
      <c r="AH41" s="41">
        <f t="shared" si="144"/>
        <v>1.5</v>
      </c>
      <c r="AI41" s="41">
        <f t="shared" si="145"/>
        <v>1.7200000000000002</v>
      </c>
      <c r="AJ41" s="41">
        <f t="shared" si="146"/>
        <v>2.04</v>
      </c>
      <c r="AK41" s="41">
        <f t="shared" si="147"/>
        <v>1.6</v>
      </c>
      <c r="AL41" s="42">
        <f t="shared" si="148"/>
        <v>1.8200000000000003</v>
      </c>
      <c r="AM41" s="42">
        <f t="shared" si="149"/>
        <v>2.14</v>
      </c>
      <c r="AN41" s="42">
        <f t="shared" si="150"/>
        <v>1.7000000000000002</v>
      </c>
      <c r="AO41" s="42">
        <f t="shared" si="151"/>
        <v>1.9200000000000004</v>
      </c>
      <c r="AP41" s="42">
        <f t="shared" si="152"/>
        <v>2.2400000000000002</v>
      </c>
      <c r="AQ41" s="42">
        <f t="shared" si="153"/>
        <v>1.8000000000000003</v>
      </c>
      <c r="AR41" s="42">
        <f t="shared" si="154"/>
        <v>2.0200000000000005</v>
      </c>
      <c r="AS41" s="42">
        <f t="shared" si="155"/>
        <v>2.3400000000000003</v>
      </c>
      <c r="AT41" s="42">
        <f t="shared" si="156"/>
        <v>1.9000000000000004</v>
      </c>
      <c r="AU41" s="42">
        <f t="shared" si="157"/>
        <v>2.1200000000000006</v>
      </c>
      <c r="AV41" s="42">
        <f t="shared" si="158"/>
        <v>2.4400000000000004</v>
      </c>
      <c r="AW41" s="42">
        <f t="shared" si="159"/>
        <v>2.0000000000000004</v>
      </c>
      <c r="AX41" s="42">
        <f t="shared" si="160"/>
        <v>2.2200000000000006</v>
      </c>
      <c r="AY41" s="47">
        <f t="shared" si="161"/>
        <v>2.5400000000000005</v>
      </c>
      <c r="AZ41" s="51">
        <f t="shared" si="162"/>
        <v>8557.5</v>
      </c>
      <c r="BA41" s="3">
        <f t="shared" si="163"/>
        <v>15394.697999999999</v>
      </c>
      <c r="BB41" s="3">
        <f t="shared" si="164"/>
        <v>23716.5</v>
      </c>
      <c r="BC41" s="41">
        <f t="shared" si="165"/>
        <v>9168.75</v>
      </c>
      <c r="BD41" s="41">
        <f t="shared" si="166"/>
        <v>16344.988000000001</v>
      </c>
      <c r="BE41" s="41">
        <f t="shared" si="167"/>
        <v>24939</v>
      </c>
      <c r="BF41" s="41">
        <f t="shared" si="168"/>
        <v>9780</v>
      </c>
      <c r="BG41" s="42">
        <f t="shared" si="169"/>
        <v>17295.278000000002</v>
      </c>
      <c r="BH41" s="42">
        <f t="shared" si="170"/>
        <v>26161.5</v>
      </c>
      <c r="BI41" s="42">
        <f t="shared" si="171"/>
        <v>10391.250000000002</v>
      </c>
      <c r="BJ41" s="42">
        <f t="shared" si="172"/>
        <v>18245.568000000003</v>
      </c>
      <c r="BK41" s="42">
        <f t="shared" si="173"/>
        <v>27384</v>
      </c>
      <c r="BL41" s="42">
        <f t="shared" si="174"/>
        <v>11002.500000000002</v>
      </c>
      <c r="BM41" s="42">
        <f t="shared" si="175"/>
        <v>19195.858000000004</v>
      </c>
      <c r="BN41" s="42">
        <f t="shared" si="176"/>
        <v>28606.500000000007</v>
      </c>
      <c r="BO41" s="42">
        <f t="shared" si="177"/>
        <v>11613.750000000004</v>
      </c>
      <c r="BP41" s="42">
        <f t="shared" si="178"/>
        <v>20146.148000000005</v>
      </c>
      <c r="BQ41" s="42">
        <f t="shared" si="179"/>
        <v>29829.000000000007</v>
      </c>
      <c r="BR41" s="42">
        <f t="shared" si="180"/>
        <v>12225.000000000004</v>
      </c>
      <c r="BS41" s="42">
        <f t="shared" si="181"/>
        <v>21096.438000000002</v>
      </c>
      <c r="BT41" s="47">
        <f t="shared" si="182"/>
        <v>31051.500000000007</v>
      </c>
      <c r="BU41" s="51">
        <f t="shared" si="183"/>
        <v>2100</v>
      </c>
      <c r="BV41" s="3">
        <f t="shared" si="184"/>
        <v>2430</v>
      </c>
      <c r="BW41" s="3">
        <f t="shared" si="185"/>
        <v>2910</v>
      </c>
      <c r="BX41" s="51">
        <f t="shared" si="186"/>
        <v>2250</v>
      </c>
      <c r="BY41" s="3">
        <f t="shared" si="187"/>
        <v>2580.0000000000005</v>
      </c>
      <c r="BZ41" s="3">
        <f t="shared" si="188"/>
        <v>3060</v>
      </c>
      <c r="CA41" s="51">
        <f t="shared" si="189"/>
        <v>2400</v>
      </c>
      <c r="CB41" s="3">
        <f t="shared" si="190"/>
        <v>2730.0000000000005</v>
      </c>
      <c r="CC41" s="3">
        <f t="shared" si="191"/>
        <v>3210</v>
      </c>
      <c r="CD41" s="51">
        <f t="shared" si="192"/>
        <v>2550.0000000000005</v>
      </c>
      <c r="CE41" s="3">
        <f t="shared" si="193"/>
        <v>2880.0000000000005</v>
      </c>
      <c r="CF41" s="3">
        <f t="shared" si="194"/>
        <v>3360.0000000000005</v>
      </c>
      <c r="CG41" s="51">
        <f t="shared" si="195"/>
        <v>2700.0000000000005</v>
      </c>
      <c r="CH41" s="3">
        <f t="shared" si="196"/>
        <v>3030.0000000000009</v>
      </c>
      <c r="CI41" s="3">
        <f t="shared" si="197"/>
        <v>3510.0000000000005</v>
      </c>
      <c r="CJ41" s="51">
        <f t="shared" si="198"/>
        <v>2850.0000000000005</v>
      </c>
      <c r="CK41" s="3">
        <f t="shared" si="199"/>
        <v>3180.0000000000009</v>
      </c>
      <c r="CL41" s="3">
        <f t="shared" si="200"/>
        <v>3660.0000000000005</v>
      </c>
      <c r="CM41" s="51">
        <f t="shared" si="201"/>
        <v>3000.0000000000005</v>
      </c>
      <c r="CN41" s="3">
        <f t="shared" si="202"/>
        <v>3330.0000000000009</v>
      </c>
      <c r="CO41" s="3">
        <f t="shared" si="203"/>
        <v>3810.0000000000009</v>
      </c>
      <c r="CP41" s="34">
        <v>0.99</v>
      </c>
      <c r="CQ41" s="60">
        <v>26730</v>
      </c>
      <c r="CR41" s="51">
        <f t="shared" si="204"/>
        <v>1121.625</v>
      </c>
      <c r="CS41" s="3">
        <f t="shared" si="205"/>
        <v>1336.6409399999998</v>
      </c>
      <c r="CT41" s="3">
        <f t="shared" si="206"/>
        <v>1600.6949999999999</v>
      </c>
      <c r="CU41" s="51">
        <f t="shared" si="207"/>
        <v>1144.4624999999999</v>
      </c>
      <c r="CV41" s="51">
        <f t="shared" si="208"/>
        <v>1369.6496399999999</v>
      </c>
      <c r="CW41" s="3">
        <f t="shared" si="209"/>
        <v>1641.87</v>
      </c>
      <c r="CX41" s="51">
        <f t="shared" si="210"/>
        <v>1167.3</v>
      </c>
      <c r="CY41" s="3">
        <f t="shared" si="211"/>
        <v>1402.6583400000002</v>
      </c>
      <c r="CZ41" s="3">
        <f t="shared" si="212"/>
        <v>1683.0449999999998</v>
      </c>
      <c r="DA41" s="51">
        <f t="shared" si="213"/>
        <v>1190.1375</v>
      </c>
      <c r="DB41" s="3">
        <f t="shared" si="214"/>
        <v>1435.6670399999998</v>
      </c>
      <c r="DC41" s="3">
        <f t="shared" si="215"/>
        <v>1724.22</v>
      </c>
      <c r="DD41" s="51">
        <f t="shared" si="216"/>
        <v>1212.9749999999999</v>
      </c>
      <c r="DE41" s="3">
        <f t="shared" si="217"/>
        <v>1468.6757400000001</v>
      </c>
      <c r="DF41" s="3">
        <f t="shared" si="218"/>
        <v>1765.3950000000002</v>
      </c>
      <c r="DG41" s="51">
        <f t="shared" si="219"/>
        <v>1235.8125</v>
      </c>
      <c r="DH41" s="3">
        <f t="shared" si="220"/>
        <v>1501.68444</v>
      </c>
      <c r="DI41" s="3">
        <f t="shared" si="221"/>
        <v>1806.5700000000002</v>
      </c>
      <c r="DJ41" s="51">
        <f t="shared" si="222"/>
        <v>1258.6499999999999</v>
      </c>
      <c r="DK41" s="3">
        <f t="shared" si="223"/>
        <v>1534.6931400000001</v>
      </c>
      <c r="DL41" s="3">
        <f t="shared" si="224"/>
        <v>1847.7450000000001</v>
      </c>
      <c r="DM41" s="51">
        <f t="shared" si="225"/>
        <v>38509.125</v>
      </c>
      <c r="DN41" s="3">
        <f t="shared" si="226"/>
        <v>45891.338939999994</v>
      </c>
      <c r="DO41" s="3">
        <f t="shared" si="227"/>
        <v>54957.195</v>
      </c>
      <c r="DP41" s="51">
        <f t="shared" si="228"/>
        <v>39293.212500000001</v>
      </c>
      <c r="DQ41" s="51">
        <f t="shared" si="229"/>
        <v>47024.637640000001</v>
      </c>
      <c r="DR41" s="3">
        <f t="shared" si="230"/>
        <v>56370.87</v>
      </c>
      <c r="DS41" s="51">
        <f t="shared" si="231"/>
        <v>40077.300000000003</v>
      </c>
      <c r="DT41" s="3">
        <f t="shared" si="232"/>
        <v>48157.936340000007</v>
      </c>
      <c r="DU41" s="3">
        <f t="shared" si="233"/>
        <v>57784.544999999998</v>
      </c>
      <c r="DV41" s="51">
        <f t="shared" si="234"/>
        <v>40861.387499999997</v>
      </c>
      <c r="DW41" s="3">
        <f t="shared" si="235"/>
        <v>49291.23504</v>
      </c>
      <c r="DX41" s="3">
        <f t="shared" si="236"/>
        <v>59198.22</v>
      </c>
      <c r="DY41" s="51">
        <f t="shared" si="237"/>
        <v>41645.474999999999</v>
      </c>
      <c r="DZ41" s="3">
        <f t="shared" si="238"/>
        <v>50424.533740000006</v>
      </c>
      <c r="EA41" s="3">
        <f t="shared" si="239"/>
        <v>60611.895000000004</v>
      </c>
      <c r="EB41" s="51">
        <f t="shared" si="240"/>
        <v>42429.5625</v>
      </c>
      <c r="EC41" s="3">
        <f t="shared" si="241"/>
        <v>51557.832439999998</v>
      </c>
      <c r="ED41" s="3">
        <f t="shared" si="242"/>
        <v>62025.570000000007</v>
      </c>
      <c r="EE41" s="51">
        <f t="shared" si="243"/>
        <v>43213.65</v>
      </c>
      <c r="EF41" s="3">
        <f t="shared" si="244"/>
        <v>52691.131140000005</v>
      </c>
      <c r="EG41" s="3">
        <f t="shared" si="245"/>
        <v>63439.24500000001</v>
      </c>
    </row>
    <row r="42" spans="1:137" ht="18.75" x14ac:dyDescent="0.25">
      <c r="A42" s="2" t="s">
        <v>6</v>
      </c>
      <c r="B42" s="2" t="s">
        <v>173</v>
      </c>
      <c r="C42" s="2">
        <f>I1</f>
        <v>16300</v>
      </c>
      <c r="D42" s="2">
        <v>2.0920000000000001</v>
      </c>
      <c r="E42" s="2">
        <v>2.4220000000000002</v>
      </c>
      <c r="F42" s="2">
        <v>2.8919999999999999</v>
      </c>
      <c r="G42" s="4">
        <v>2.0499999999999998</v>
      </c>
      <c r="H42" s="4">
        <v>2.38</v>
      </c>
      <c r="I42" s="89">
        <v>2.85</v>
      </c>
      <c r="J42" s="97">
        <v>2.0920000000000001</v>
      </c>
      <c r="K42" s="2">
        <v>2.4220000000000002</v>
      </c>
      <c r="L42" s="98">
        <v>2.8919999999999999</v>
      </c>
      <c r="M42" s="97">
        <f t="shared" si="126"/>
        <v>2.1920000000000002</v>
      </c>
      <c r="N42" s="2">
        <f t="shared" si="127"/>
        <v>2.5220000000000002</v>
      </c>
      <c r="O42" s="98">
        <f t="shared" si="128"/>
        <v>2.992</v>
      </c>
      <c r="P42" s="97">
        <f t="shared" si="129"/>
        <v>2.2920000000000003</v>
      </c>
      <c r="Q42" s="2">
        <f t="shared" si="130"/>
        <v>2.6220000000000003</v>
      </c>
      <c r="R42" s="98">
        <f t="shared" si="131"/>
        <v>3.0920000000000001</v>
      </c>
      <c r="S42" s="97">
        <f t="shared" si="132"/>
        <v>2.3920000000000003</v>
      </c>
      <c r="T42" s="2">
        <f t="shared" si="133"/>
        <v>2.7220000000000004</v>
      </c>
      <c r="U42" s="98">
        <f t="shared" si="134"/>
        <v>3.1920000000000002</v>
      </c>
      <c r="V42" s="97">
        <f t="shared" si="135"/>
        <v>2.4920000000000004</v>
      </c>
      <c r="W42" s="2">
        <f t="shared" si="136"/>
        <v>2.8220000000000005</v>
      </c>
      <c r="X42" s="98">
        <f t="shared" si="137"/>
        <v>3.2920000000000003</v>
      </c>
      <c r="Y42" s="97">
        <f t="shared" si="138"/>
        <v>2.5920000000000005</v>
      </c>
      <c r="Z42" s="2">
        <f t="shared" si="139"/>
        <v>2.9220000000000006</v>
      </c>
      <c r="AA42" s="98">
        <f t="shared" si="140"/>
        <v>3.3920000000000003</v>
      </c>
      <c r="AB42" s="97">
        <f t="shared" si="141"/>
        <v>2.6920000000000006</v>
      </c>
      <c r="AC42" s="2">
        <f t="shared" si="142"/>
        <v>3.0220000000000007</v>
      </c>
      <c r="AD42" s="98">
        <f t="shared" si="143"/>
        <v>3.4920000000000004</v>
      </c>
      <c r="AE42" s="52">
        <v>2.0499999999999998</v>
      </c>
      <c r="AF42" s="4">
        <v>2.38</v>
      </c>
      <c r="AG42" s="4">
        <v>2.85</v>
      </c>
      <c r="AH42" s="41">
        <f t="shared" si="144"/>
        <v>2.15</v>
      </c>
      <c r="AI42" s="41">
        <f t="shared" si="145"/>
        <v>2.48</v>
      </c>
      <c r="AJ42" s="41">
        <f t="shared" si="146"/>
        <v>2.95</v>
      </c>
      <c r="AK42" s="41">
        <f t="shared" si="147"/>
        <v>2.25</v>
      </c>
      <c r="AL42" s="42">
        <f t="shared" si="148"/>
        <v>2.58</v>
      </c>
      <c r="AM42" s="42">
        <f t="shared" si="149"/>
        <v>3.0500000000000003</v>
      </c>
      <c r="AN42" s="42">
        <f t="shared" si="150"/>
        <v>2.35</v>
      </c>
      <c r="AO42" s="42">
        <f t="shared" si="151"/>
        <v>2.68</v>
      </c>
      <c r="AP42" s="42">
        <f t="shared" si="152"/>
        <v>3.1500000000000004</v>
      </c>
      <c r="AQ42" s="42">
        <f t="shared" si="153"/>
        <v>2.4500000000000002</v>
      </c>
      <c r="AR42" s="42">
        <f t="shared" si="154"/>
        <v>2.7800000000000002</v>
      </c>
      <c r="AS42" s="42">
        <f t="shared" si="155"/>
        <v>3.2500000000000004</v>
      </c>
      <c r="AT42" s="42">
        <f t="shared" si="156"/>
        <v>2.5500000000000003</v>
      </c>
      <c r="AU42" s="42">
        <f t="shared" si="157"/>
        <v>2.8800000000000003</v>
      </c>
      <c r="AV42" s="42">
        <f t="shared" si="158"/>
        <v>3.3500000000000005</v>
      </c>
      <c r="AW42" s="42">
        <f t="shared" si="159"/>
        <v>2.6500000000000004</v>
      </c>
      <c r="AX42" s="42">
        <f t="shared" si="160"/>
        <v>2.9800000000000004</v>
      </c>
      <c r="AY42" s="47">
        <f t="shared" si="161"/>
        <v>3.4500000000000006</v>
      </c>
      <c r="AZ42" s="51">
        <f t="shared" si="162"/>
        <v>12530.625</v>
      </c>
      <c r="BA42" s="3">
        <f t="shared" si="163"/>
        <v>22616.901999999998</v>
      </c>
      <c r="BB42" s="3">
        <f t="shared" si="164"/>
        <v>34841.25</v>
      </c>
      <c r="BC42" s="41">
        <f t="shared" si="165"/>
        <v>13141.875</v>
      </c>
      <c r="BD42" s="41">
        <f t="shared" si="166"/>
        <v>23567.191999999999</v>
      </c>
      <c r="BE42" s="41">
        <f t="shared" si="167"/>
        <v>36063.75</v>
      </c>
      <c r="BF42" s="41">
        <f t="shared" si="168"/>
        <v>13753.125</v>
      </c>
      <c r="BG42" s="42">
        <f t="shared" si="169"/>
        <v>24517.482</v>
      </c>
      <c r="BH42" s="42">
        <f t="shared" si="170"/>
        <v>37286.250000000007</v>
      </c>
      <c r="BI42" s="42">
        <f t="shared" si="171"/>
        <v>14364.375</v>
      </c>
      <c r="BJ42" s="42">
        <f t="shared" si="172"/>
        <v>25467.771999999997</v>
      </c>
      <c r="BK42" s="42">
        <f t="shared" si="173"/>
        <v>38508.750000000007</v>
      </c>
      <c r="BL42" s="42">
        <f t="shared" si="174"/>
        <v>14975.625</v>
      </c>
      <c r="BM42" s="42">
        <f t="shared" si="175"/>
        <v>26418.062000000002</v>
      </c>
      <c r="BN42" s="42">
        <f t="shared" si="176"/>
        <v>39731.250000000007</v>
      </c>
      <c r="BO42" s="42">
        <f t="shared" si="177"/>
        <v>15586.875000000004</v>
      </c>
      <c r="BP42" s="42">
        <f t="shared" si="178"/>
        <v>27368.352000000003</v>
      </c>
      <c r="BQ42" s="42">
        <f t="shared" si="179"/>
        <v>40953.750000000007</v>
      </c>
      <c r="BR42" s="42">
        <f t="shared" si="180"/>
        <v>16198.125000000004</v>
      </c>
      <c r="BS42" s="42">
        <f t="shared" si="181"/>
        <v>28318.642000000003</v>
      </c>
      <c r="BT42" s="47">
        <f t="shared" si="182"/>
        <v>42176.250000000007</v>
      </c>
      <c r="BU42" s="51">
        <f t="shared" si="183"/>
        <v>3074.9999999999995</v>
      </c>
      <c r="BV42" s="3">
        <f t="shared" si="184"/>
        <v>3570</v>
      </c>
      <c r="BW42" s="3">
        <f t="shared" si="185"/>
        <v>4275</v>
      </c>
      <c r="BX42" s="51">
        <f t="shared" si="186"/>
        <v>3225</v>
      </c>
      <c r="BY42" s="3">
        <f t="shared" si="187"/>
        <v>3720</v>
      </c>
      <c r="BZ42" s="3">
        <f t="shared" si="188"/>
        <v>4425</v>
      </c>
      <c r="CA42" s="51">
        <f t="shared" si="189"/>
        <v>3375</v>
      </c>
      <c r="CB42" s="3">
        <f t="shared" si="190"/>
        <v>3870</v>
      </c>
      <c r="CC42" s="3">
        <f t="shared" si="191"/>
        <v>4575</v>
      </c>
      <c r="CD42" s="51">
        <f t="shared" si="192"/>
        <v>3525</v>
      </c>
      <c r="CE42" s="3">
        <f t="shared" si="193"/>
        <v>4020.0000000000005</v>
      </c>
      <c r="CF42" s="3">
        <f t="shared" si="194"/>
        <v>4725.0000000000009</v>
      </c>
      <c r="CG42" s="51">
        <f t="shared" si="195"/>
        <v>3675.0000000000005</v>
      </c>
      <c r="CH42" s="3">
        <f t="shared" si="196"/>
        <v>4170</v>
      </c>
      <c r="CI42" s="3">
        <f t="shared" si="197"/>
        <v>4875.0000000000009</v>
      </c>
      <c r="CJ42" s="51">
        <f t="shared" si="198"/>
        <v>3825.0000000000005</v>
      </c>
      <c r="CK42" s="3">
        <f t="shared" si="199"/>
        <v>4320.0000000000009</v>
      </c>
      <c r="CL42" s="3">
        <f t="shared" si="200"/>
        <v>5025.0000000000009</v>
      </c>
      <c r="CM42" s="51">
        <f t="shared" si="201"/>
        <v>3975.0000000000005</v>
      </c>
      <c r="CN42" s="3">
        <f t="shared" si="202"/>
        <v>4470.0000000000009</v>
      </c>
      <c r="CO42" s="3">
        <f t="shared" si="203"/>
        <v>5175.0000000000009</v>
      </c>
      <c r="CP42" s="34">
        <v>0.19800000000000001</v>
      </c>
      <c r="CQ42" s="60">
        <v>5346</v>
      </c>
      <c r="CR42" s="51">
        <f t="shared" si="204"/>
        <v>628.54874999999993</v>
      </c>
      <c r="CS42" s="3">
        <f t="shared" si="205"/>
        <v>945.98705999999993</v>
      </c>
      <c r="CT42" s="3">
        <f t="shared" si="206"/>
        <v>1333.8675000000001</v>
      </c>
      <c r="CU42" s="51">
        <f t="shared" si="207"/>
        <v>651.38625000000002</v>
      </c>
      <c r="CV42" s="51">
        <f t="shared" si="208"/>
        <v>978.9957599999999</v>
      </c>
      <c r="CW42" s="3">
        <f t="shared" si="209"/>
        <v>1375.0425</v>
      </c>
      <c r="CX42" s="51">
        <f t="shared" si="210"/>
        <v>674.22375</v>
      </c>
      <c r="CY42" s="3">
        <f t="shared" si="211"/>
        <v>1012.0044600000001</v>
      </c>
      <c r="CZ42" s="3">
        <f t="shared" si="212"/>
        <v>1416.2175000000002</v>
      </c>
      <c r="DA42" s="51">
        <f t="shared" si="213"/>
        <v>697.06124999999997</v>
      </c>
      <c r="DB42" s="3">
        <f t="shared" si="214"/>
        <v>1045.01316</v>
      </c>
      <c r="DC42" s="3">
        <f t="shared" si="215"/>
        <v>1457.3925000000002</v>
      </c>
      <c r="DD42" s="51">
        <f t="shared" si="216"/>
        <v>719.89874999999995</v>
      </c>
      <c r="DE42" s="3">
        <f t="shared" si="217"/>
        <v>1078.0218600000001</v>
      </c>
      <c r="DF42" s="3">
        <f t="shared" si="218"/>
        <v>1498.5675000000001</v>
      </c>
      <c r="DG42" s="51">
        <f t="shared" si="219"/>
        <v>742.73625000000004</v>
      </c>
      <c r="DH42" s="3">
        <f t="shared" si="220"/>
        <v>1111.0305599999999</v>
      </c>
      <c r="DI42" s="3">
        <f t="shared" si="221"/>
        <v>1539.7425000000001</v>
      </c>
      <c r="DJ42" s="51">
        <f t="shared" si="222"/>
        <v>765.57375000000013</v>
      </c>
      <c r="DK42" s="3">
        <f t="shared" si="223"/>
        <v>1144.0392600000002</v>
      </c>
      <c r="DL42" s="3">
        <f t="shared" si="224"/>
        <v>1580.9175000000002</v>
      </c>
      <c r="DM42" s="51">
        <f t="shared" si="225"/>
        <v>21580.173750000002</v>
      </c>
      <c r="DN42" s="3">
        <f t="shared" si="226"/>
        <v>32478.889059999998</v>
      </c>
      <c r="DO42" s="3">
        <f t="shared" si="227"/>
        <v>45796.1175</v>
      </c>
      <c r="DP42" s="51">
        <f t="shared" si="228"/>
        <v>22364.26125</v>
      </c>
      <c r="DQ42" s="51">
        <f t="shared" si="229"/>
        <v>33612.187760000001</v>
      </c>
      <c r="DR42" s="3">
        <f t="shared" si="230"/>
        <v>47209.792500000003</v>
      </c>
      <c r="DS42" s="51">
        <f t="shared" si="231"/>
        <v>23148.348750000001</v>
      </c>
      <c r="DT42" s="3">
        <f t="shared" si="232"/>
        <v>34745.48646</v>
      </c>
      <c r="DU42" s="3">
        <f t="shared" si="233"/>
        <v>48623.467500000006</v>
      </c>
      <c r="DV42" s="51">
        <f t="shared" si="234"/>
        <v>23932.436249999999</v>
      </c>
      <c r="DW42" s="3">
        <f t="shared" si="235"/>
        <v>35878.785159999999</v>
      </c>
      <c r="DX42" s="3">
        <f t="shared" si="236"/>
        <v>50037.142500000009</v>
      </c>
      <c r="DY42" s="51">
        <f t="shared" si="237"/>
        <v>24716.52375</v>
      </c>
      <c r="DZ42" s="3">
        <f t="shared" si="238"/>
        <v>37012.083860000006</v>
      </c>
      <c r="EA42" s="3">
        <f t="shared" si="239"/>
        <v>51450.817500000005</v>
      </c>
      <c r="EB42" s="51">
        <f t="shared" si="240"/>
        <v>25500.611250000005</v>
      </c>
      <c r="EC42" s="3">
        <f t="shared" si="241"/>
        <v>38145.382559999998</v>
      </c>
      <c r="ED42" s="3">
        <f t="shared" si="242"/>
        <v>52864.492500000008</v>
      </c>
      <c r="EE42" s="51">
        <f t="shared" si="243"/>
        <v>26284.698750000003</v>
      </c>
      <c r="EF42" s="3">
        <f t="shared" si="244"/>
        <v>39278.681260000005</v>
      </c>
      <c r="EG42" s="3">
        <f t="shared" si="245"/>
        <v>54278.16750000001</v>
      </c>
    </row>
    <row r="43" spans="1:137" ht="18.75" x14ac:dyDescent="0.25">
      <c r="A43" s="2" t="s">
        <v>6</v>
      </c>
      <c r="B43" s="2" t="s">
        <v>170</v>
      </c>
      <c r="C43" s="2">
        <f>I1</f>
        <v>16300</v>
      </c>
      <c r="D43" s="2">
        <v>1.3129999999999999</v>
      </c>
      <c r="E43" s="2">
        <v>1.51</v>
      </c>
      <c r="F43" s="2">
        <v>1.76</v>
      </c>
      <c r="G43" s="4">
        <v>1.113</v>
      </c>
      <c r="H43" s="4">
        <v>1.31</v>
      </c>
      <c r="I43" s="89">
        <v>1.56</v>
      </c>
      <c r="J43" s="97">
        <v>1.3129999999999999</v>
      </c>
      <c r="K43" s="2">
        <v>1.51</v>
      </c>
      <c r="L43" s="98">
        <v>1.76</v>
      </c>
      <c r="M43" s="97">
        <f t="shared" si="126"/>
        <v>1.413</v>
      </c>
      <c r="N43" s="2">
        <f t="shared" si="127"/>
        <v>1.61</v>
      </c>
      <c r="O43" s="98">
        <f t="shared" si="128"/>
        <v>1.86</v>
      </c>
      <c r="P43" s="97">
        <f t="shared" si="129"/>
        <v>1.5130000000000001</v>
      </c>
      <c r="Q43" s="2">
        <f t="shared" si="130"/>
        <v>1.7100000000000002</v>
      </c>
      <c r="R43" s="98">
        <f t="shared" si="131"/>
        <v>1.9600000000000002</v>
      </c>
      <c r="S43" s="97">
        <f t="shared" si="132"/>
        <v>1.6130000000000002</v>
      </c>
      <c r="T43" s="2">
        <f t="shared" si="133"/>
        <v>1.8100000000000003</v>
      </c>
      <c r="U43" s="98">
        <f t="shared" si="134"/>
        <v>2.06</v>
      </c>
      <c r="V43" s="97">
        <f t="shared" si="135"/>
        <v>1.7130000000000003</v>
      </c>
      <c r="W43" s="2">
        <f t="shared" si="136"/>
        <v>1.9100000000000004</v>
      </c>
      <c r="X43" s="98">
        <f t="shared" si="137"/>
        <v>2.16</v>
      </c>
      <c r="Y43" s="97">
        <f t="shared" si="138"/>
        <v>1.8130000000000004</v>
      </c>
      <c r="Z43" s="2">
        <f t="shared" si="139"/>
        <v>2.0100000000000002</v>
      </c>
      <c r="AA43" s="98">
        <f t="shared" si="140"/>
        <v>2.2600000000000002</v>
      </c>
      <c r="AB43" s="97">
        <f t="shared" si="141"/>
        <v>1.9130000000000005</v>
      </c>
      <c r="AC43" s="2">
        <f t="shared" si="142"/>
        <v>2.1100000000000003</v>
      </c>
      <c r="AD43" s="98">
        <f t="shared" si="143"/>
        <v>2.3600000000000003</v>
      </c>
      <c r="AE43" s="52">
        <v>1.113</v>
      </c>
      <c r="AF43" s="4">
        <v>1.31</v>
      </c>
      <c r="AG43" s="4">
        <v>1.56</v>
      </c>
      <c r="AH43" s="41">
        <f t="shared" si="144"/>
        <v>1.2130000000000001</v>
      </c>
      <c r="AI43" s="41">
        <f t="shared" si="145"/>
        <v>1.4100000000000001</v>
      </c>
      <c r="AJ43" s="41">
        <f t="shared" si="146"/>
        <v>1.6600000000000001</v>
      </c>
      <c r="AK43" s="41">
        <f t="shared" si="147"/>
        <v>1.3130000000000002</v>
      </c>
      <c r="AL43" s="42">
        <f t="shared" si="148"/>
        <v>1.5100000000000002</v>
      </c>
      <c r="AM43" s="42">
        <f t="shared" si="149"/>
        <v>1.7600000000000002</v>
      </c>
      <c r="AN43" s="42">
        <f t="shared" si="150"/>
        <v>1.4130000000000003</v>
      </c>
      <c r="AO43" s="42">
        <f t="shared" si="151"/>
        <v>1.6100000000000003</v>
      </c>
      <c r="AP43" s="42">
        <f t="shared" si="152"/>
        <v>1.8600000000000003</v>
      </c>
      <c r="AQ43" s="42">
        <f t="shared" si="153"/>
        <v>1.5130000000000003</v>
      </c>
      <c r="AR43" s="42">
        <f t="shared" si="154"/>
        <v>1.7100000000000004</v>
      </c>
      <c r="AS43" s="42">
        <f t="shared" si="155"/>
        <v>1.9600000000000004</v>
      </c>
      <c r="AT43" s="42">
        <f t="shared" si="156"/>
        <v>1.6130000000000004</v>
      </c>
      <c r="AU43" s="42">
        <f t="shared" si="157"/>
        <v>1.8100000000000005</v>
      </c>
      <c r="AV43" s="42">
        <f t="shared" si="158"/>
        <v>2.0600000000000005</v>
      </c>
      <c r="AW43" s="42">
        <f t="shared" si="159"/>
        <v>1.7130000000000005</v>
      </c>
      <c r="AX43" s="42">
        <f t="shared" si="160"/>
        <v>1.9100000000000006</v>
      </c>
      <c r="AY43" s="47">
        <f t="shared" si="161"/>
        <v>2.1600000000000006</v>
      </c>
      <c r="AZ43" s="51">
        <f t="shared" si="162"/>
        <v>6803.2125000000005</v>
      </c>
      <c r="BA43" s="3">
        <f t="shared" si="163"/>
        <v>12448.798999999999</v>
      </c>
      <c r="BB43" s="3">
        <f t="shared" si="164"/>
        <v>19071</v>
      </c>
      <c r="BC43" s="41">
        <f t="shared" si="165"/>
        <v>7414.4625000000005</v>
      </c>
      <c r="BD43" s="41">
        <f t="shared" si="166"/>
        <v>13399.089000000002</v>
      </c>
      <c r="BE43" s="41">
        <f t="shared" si="167"/>
        <v>20293.500000000004</v>
      </c>
      <c r="BF43" s="41">
        <f t="shared" si="168"/>
        <v>8025.7125000000005</v>
      </c>
      <c r="BG43" s="42">
        <f t="shared" si="169"/>
        <v>14349.379000000001</v>
      </c>
      <c r="BH43" s="42">
        <f t="shared" si="170"/>
        <v>21516.000000000004</v>
      </c>
      <c r="BI43" s="42">
        <f t="shared" si="171"/>
        <v>8636.9625000000015</v>
      </c>
      <c r="BJ43" s="42">
        <f t="shared" si="172"/>
        <v>15299.669000000002</v>
      </c>
      <c r="BK43" s="42">
        <f t="shared" si="173"/>
        <v>22738.500000000004</v>
      </c>
      <c r="BL43" s="42">
        <f t="shared" si="174"/>
        <v>9248.2125000000015</v>
      </c>
      <c r="BM43" s="42">
        <f t="shared" si="175"/>
        <v>16249.959000000003</v>
      </c>
      <c r="BN43" s="42">
        <f t="shared" si="176"/>
        <v>23961.000000000007</v>
      </c>
      <c r="BO43" s="42">
        <f t="shared" si="177"/>
        <v>9859.4625000000033</v>
      </c>
      <c r="BP43" s="42">
        <f t="shared" si="178"/>
        <v>17200.249000000003</v>
      </c>
      <c r="BQ43" s="42">
        <f t="shared" si="179"/>
        <v>25183.500000000007</v>
      </c>
      <c r="BR43" s="42">
        <f t="shared" si="180"/>
        <v>10470.712500000003</v>
      </c>
      <c r="BS43" s="42">
        <f t="shared" si="181"/>
        <v>18150.539000000004</v>
      </c>
      <c r="BT43" s="47">
        <f t="shared" si="182"/>
        <v>26406.000000000007</v>
      </c>
      <c r="BU43" s="51">
        <f t="shared" si="183"/>
        <v>1669.5</v>
      </c>
      <c r="BV43" s="3">
        <f t="shared" si="184"/>
        <v>1965</v>
      </c>
      <c r="BW43" s="3">
        <f t="shared" si="185"/>
        <v>2340</v>
      </c>
      <c r="BX43" s="51">
        <f t="shared" si="186"/>
        <v>1819.5000000000002</v>
      </c>
      <c r="BY43" s="3">
        <f t="shared" si="187"/>
        <v>2115</v>
      </c>
      <c r="BZ43" s="3">
        <f t="shared" si="188"/>
        <v>2490</v>
      </c>
      <c r="CA43" s="51">
        <f t="shared" si="189"/>
        <v>1969.5000000000002</v>
      </c>
      <c r="CB43" s="3">
        <f t="shared" si="190"/>
        <v>2265.0000000000005</v>
      </c>
      <c r="CC43" s="3">
        <f t="shared" si="191"/>
        <v>2640.0000000000005</v>
      </c>
      <c r="CD43" s="51">
        <f t="shared" si="192"/>
        <v>2119.5000000000005</v>
      </c>
      <c r="CE43" s="3">
        <f t="shared" si="193"/>
        <v>2415.0000000000005</v>
      </c>
      <c r="CF43" s="3">
        <f t="shared" si="194"/>
        <v>2790.0000000000005</v>
      </c>
      <c r="CG43" s="51">
        <f t="shared" si="195"/>
        <v>2269.5000000000005</v>
      </c>
      <c r="CH43" s="3">
        <f t="shared" si="196"/>
        <v>2565.0000000000005</v>
      </c>
      <c r="CI43" s="3">
        <f t="shared" si="197"/>
        <v>2940.0000000000005</v>
      </c>
      <c r="CJ43" s="51">
        <f t="shared" si="198"/>
        <v>2419.5000000000005</v>
      </c>
      <c r="CK43" s="3">
        <f t="shared" si="199"/>
        <v>2715.0000000000009</v>
      </c>
      <c r="CL43" s="3">
        <f t="shared" si="200"/>
        <v>3090.0000000000009</v>
      </c>
      <c r="CM43" s="51">
        <f t="shared" si="201"/>
        <v>2569.5000000000009</v>
      </c>
      <c r="CN43" s="3">
        <f t="shared" si="202"/>
        <v>2865.0000000000009</v>
      </c>
      <c r="CO43" s="3">
        <f t="shared" si="203"/>
        <v>3240.0000000000009</v>
      </c>
      <c r="CP43" s="34">
        <v>0</v>
      </c>
      <c r="CQ43" s="60">
        <v>0</v>
      </c>
      <c r="CR43" s="51">
        <f t="shared" si="204"/>
        <v>254.18137500000003</v>
      </c>
      <c r="CS43" s="3">
        <f t="shared" si="205"/>
        <v>432.41396999999995</v>
      </c>
      <c r="CT43" s="3">
        <f t="shared" si="206"/>
        <v>642.32999999999993</v>
      </c>
      <c r="CU43" s="51">
        <f t="shared" si="207"/>
        <v>277.01887500000004</v>
      </c>
      <c r="CV43" s="51">
        <f t="shared" si="208"/>
        <v>465.42267000000004</v>
      </c>
      <c r="CW43" s="3">
        <f t="shared" si="209"/>
        <v>683.50500000000011</v>
      </c>
      <c r="CX43" s="51">
        <f t="shared" si="210"/>
        <v>299.85637500000001</v>
      </c>
      <c r="CY43" s="3">
        <f t="shared" si="211"/>
        <v>498.43137000000002</v>
      </c>
      <c r="CZ43" s="3">
        <f t="shared" si="212"/>
        <v>724.68000000000006</v>
      </c>
      <c r="DA43" s="51">
        <f t="shared" si="213"/>
        <v>322.69387500000005</v>
      </c>
      <c r="DB43" s="3">
        <f t="shared" si="214"/>
        <v>531.44006999999999</v>
      </c>
      <c r="DC43" s="3">
        <f t="shared" si="215"/>
        <v>765.85500000000013</v>
      </c>
      <c r="DD43" s="51">
        <f t="shared" si="216"/>
        <v>345.53137500000003</v>
      </c>
      <c r="DE43" s="3">
        <f t="shared" si="217"/>
        <v>564.44877000000008</v>
      </c>
      <c r="DF43" s="3">
        <f t="shared" si="218"/>
        <v>807.0300000000002</v>
      </c>
      <c r="DG43" s="51">
        <f t="shared" si="219"/>
        <v>368.36887500000006</v>
      </c>
      <c r="DH43" s="3">
        <f t="shared" si="220"/>
        <v>597.45747000000006</v>
      </c>
      <c r="DI43" s="3">
        <f t="shared" si="221"/>
        <v>848.20500000000015</v>
      </c>
      <c r="DJ43" s="51">
        <f t="shared" si="222"/>
        <v>391.20637500000015</v>
      </c>
      <c r="DK43" s="3">
        <f t="shared" si="223"/>
        <v>630.46617000000015</v>
      </c>
      <c r="DL43" s="3">
        <f t="shared" si="224"/>
        <v>889.38000000000022</v>
      </c>
      <c r="DM43" s="51">
        <f t="shared" si="225"/>
        <v>8726.8938750000016</v>
      </c>
      <c r="DN43" s="3">
        <f t="shared" si="226"/>
        <v>14846.212969999999</v>
      </c>
      <c r="DO43" s="3">
        <f t="shared" si="227"/>
        <v>22053.33</v>
      </c>
      <c r="DP43" s="51">
        <f t="shared" si="228"/>
        <v>9510.9813750000012</v>
      </c>
      <c r="DQ43" s="51">
        <f t="shared" si="229"/>
        <v>15979.511670000002</v>
      </c>
      <c r="DR43" s="3">
        <f t="shared" si="230"/>
        <v>23467.005000000005</v>
      </c>
      <c r="DS43" s="51">
        <f t="shared" si="231"/>
        <v>10295.068875000001</v>
      </c>
      <c r="DT43" s="3">
        <f t="shared" si="232"/>
        <v>17112.810369999999</v>
      </c>
      <c r="DU43" s="3">
        <f t="shared" si="233"/>
        <v>24880.680000000004</v>
      </c>
      <c r="DV43" s="51">
        <f t="shared" si="234"/>
        <v>11079.156375000002</v>
      </c>
      <c r="DW43" s="3">
        <f t="shared" si="235"/>
        <v>18246.109070000002</v>
      </c>
      <c r="DX43" s="3">
        <f t="shared" si="236"/>
        <v>26294.355000000003</v>
      </c>
      <c r="DY43" s="51">
        <f t="shared" si="237"/>
        <v>11863.243875000002</v>
      </c>
      <c r="DZ43" s="3">
        <f t="shared" si="238"/>
        <v>19379.407770000002</v>
      </c>
      <c r="EA43" s="3">
        <f t="shared" si="239"/>
        <v>27708.030000000006</v>
      </c>
      <c r="EB43" s="51">
        <f t="shared" si="240"/>
        <v>12647.331375000003</v>
      </c>
      <c r="EC43" s="3">
        <f t="shared" si="241"/>
        <v>20512.706470000005</v>
      </c>
      <c r="ED43" s="3">
        <f t="shared" si="242"/>
        <v>29121.705000000009</v>
      </c>
      <c r="EE43" s="51">
        <f t="shared" si="243"/>
        <v>13431.418875000005</v>
      </c>
      <c r="EF43" s="3">
        <f t="shared" si="244"/>
        <v>21646.005170000004</v>
      </c>
      <c r="EG43" s="3">
        <f t="shared" si="245"/>
        <v>30535.380000000008</v>
      </c>
    </row>
    <row r="44" spans="1:137" ht="18.75" x14ac:dyDescent="0.25">
      <c r="A44" s="2" t="s">
        <v>6</v>
      </c>
      <c r="B44" s="2" t="s">
        <v>176</v>
      </c>
      <c r="C44" s="2">
        <f>I1</f>
        <v>16300</v>
      </c>
      <c r="D44" s="2">
        <v>1.427</v>
      </c>
      <c r="E44" s="2">
        <v>1.647</v>
      </c>
      <c r="F44" s="2">
        <v>1.9670000000000001</v>
      </c>
      <c r="G44" s="4">
        <v>1.4</v>
      </c>
      <c r="H44" s="4">
        <v>1.62</v>
      </c>
      <c r="I44" s="89">
        <v>1.94</v>
      </c>
      <c r="J44" s="97">
        <v>1.427</v>
      </c>
      <c r="K44" s="2">
        <v>1.647</v>
      </c>
      <c r="L44" s="98">
        <v>1.9670000000000001</v>
      </c>
      <c r="M44" s="97">
        <f t="shared" si="126"/>
        <v>1.5270000000000001</v>
      </c>
      <c r="N44" s="2">
        <f t="shared" si="127"/>
        <v>1.7470000000000001</v>
      </c>
      <c r="O44" s="98">
        <f t="shared" si="128"/>
        <v>2.0670000000000002</v>
      </c>
      <c r="P44" s="97">
        <f t="shared" si="129"/>
        <v>1.6270000000000002</v>
      </c>
      <c r="Q44" s="2">
        <f t="shared" si="130"/>
        <v>1.8470000000000002</v>
      </c>
      <c r="R44" s="98">
        <f t="shared" si="131"/>
        <v>2.1670000000000003</v>
      </c>
      <c r="S44" s="97">
        <f t="shared" si="132"/>
        <v>1.7270000000000003</v>
      </c>
      <c r="T44" s="2">
        <f t="shared" si="133"/>
        <v>1.9470000000000003</v>
      </c>
      <c r="U44" s="98">
        <f t="shared" si="134"/>
        <v>2.2670000000000003</v>
      </c>
      <c r="V44" s="97">
        <f t="shared" si="135"/>
        <v>1.8270000000000004</v>
      </c>
      <c r="W44" s="2">
        <f t="shared" si="136"/>
        <v>2.0470000000000002</v>
      </c>
      <c r="X44" s="98">
        <f t="shared" si="137"/>
        <v>2.3670000000000004</v>
      </c>
      <c r="Y44" s="97">
        <f t="shared" si="138"/>
        <v>1.9270000000000005</v>
      </c>
      <c r="Z44" s="2">
        <f t="shared" si="139"/>
        <v>2.1470000000000002</v>
      </c>
      <c r="AA44" s="98">
        <f t="shared" si="140"/>
        <v>2.4670000000000005</v>
      </c>
      <c r="AB44" s="97">
        <f t="shared" si="141"/>
        <v>2.0270000000000006</v>
      </c>
      <c r="AC44" s="2">
        <f t="shared" si="142"/>
        <v>2.2470000000000003</v>
      </c>
      <c r="AD44" s="98">
        <f t="shared" si="143"/>
        <v>2.5670000000000006</v>
      </c>
      <c r="AE44" s="52">
        <v>1.4</v>
      </c>
      <c r="AF44" s="4">
        <v>1.62</v>
      </c>
      <c r="AG44" s="4">
        <v>1.94</v>
      </c>
      <c r="AH44" s="41">
        <f t="shared" si="144"/>
        <v>1.5</v>
      </c>
      <c r="AI44" s="41">
        <f t="shared" si="145"/>
        <v>1.7200000000000002</v>
      </c>
      <c r="AJ44" s="41">
        <f t="shared" si="146"/>
        <v>2.04</v>
      </c>
      <c r="AK44" s="41">
        <f t="shared" si="147"/>
        <v>1.6</v>
      </c>
      <c r="AL44" s="42">
        <f t="shared" si="148"/>
        <v>1.8200000000000003</v>
      </c>
      <c r="AM44" s="42">
        <f t="shared" si="149"/>
        <v>2.14</v>
      </c>
      <c r="AN44" s="42">
        <f t="shared" si="150"/>
        <v>1.7000000000000002</v>
      </c>
      <c r="AO44" s="42">
        <f t="shared" si="151"/>
        <v>1.9200000000000004</v>
      </c>
      <c r="AP44" s="42">
        <f t="shared" si="152"/>
        <v>2.2400000000000002</v>
      </c>
      <c r="AQ44" s="42">
        <f t="shared" si="153"/>
        <v>1.8000000000000003</v>
      </c>
      <c r="AR44" s="42">
        <f t="shared" si="154"/>
        <v>2.0200000000000005</v>
      </c>
      <c r="AS44" s="42">
        <f t="shared" si="155"/>
        <v>2.3400000000000003</v>
      </c>
      <c r="AT44" s="42">
        <f t="shared" si="156"/>
        <v>1.9000000000000004</v>
      </c>
      <c r="AU44" s="42">
        <f t="shared" si="157"/>
        <v>2.1200000000000006</v>
      </c>
      <c r="AV44" s="42">
        <f t="shared" si="158"/>
        <v>2.4400000000000004</v>
      </c>
      <c r="AW44" s="42">
        <f t="shared" si="159"/>
        <v>2.0000000000000004</v>
      </c>
      <c r="AX44" s="42">
        <f t="shared" si="160"/>
        <v>2.2200000000000006</v>
      </c>
      <c r="AY44" s="47">
        <f t="shared" si="161"/>
        <v>2.5400000000000005</v>
      </c>
      <c r="AZ44" s="51">
        <f t="shared" si="162"/>
        <v>8557.5</v>
      </c>
      <c r="BA44" s="3">
        <f t="shared" si="163"/>
        <v>15394.697999999999</v>
      </c>
      <c r="BB44" s="3">
        <f t="shared" si="164"/>
        <v>23716.5</v>
      </c>
      <c r="BC44" s="41">
        <f t="shared" si="165"/>
        <v>9168.75</v>
      </c>
      <c r="BD44" s="41">
        <f t="shared" si="166"/>
        <v>16344.988000000001</v>
      </c>
      <c r="BE44" s="41">
        <f t="shared" si="167"/>
        <v>24939</v>
      </c>
      <c r="BF44" s="41">
        <f t="shared" si="168"/>
        <v>9780</v>
      </c>
      <c r="BG44" s="42">
        <f t="shared" si="169"/>
        <v>17295.278000000002</v>
      </c>
      <c r="BH44" s="42">
        <f t="shared" si="170"/>
        <v>26161.5</v>
      </c>
      <c r="BI44" s="42">
        <f t="shared" si="171"/>
        <v>10391.250000000002</v>
      </c>
      <c r="BJ44" s="42">
        <f t="shared" si="172"/>
        <v>18245.568000000003</v>
      </c>
      <c r="BK44" s="42">
        <f t="shared" si="173"/>
        <v>27384</v>
      </c>
      <c r="BL44" s="42">
        <f t="shared" si="174"/>
        <v>11002.500000000002</v>
      </c>
      <c r="BM44" s="42">
        <f t="shared" si="175"/>
        <v>19195.858000000004</v>
      </c>
      <c r="BN44" s="42">
        <f t="shared" si="176"/>
        <v>28606.500000000007</v>
      </c>
      <c r="BO44" s="42">
        <f t="shared" si="177"/>
        <v>11613.750000000004</v>
      </c>
      <c r="BP44" s="42">
        <f t="shared" si="178"/>
        <v>20146.148000000005</v>
      </c>
      <c r="BQ44" s="42">
        <f t="shared" si="179"/>
        <v>29829.000000000007</v>
      </c>
      <c r="BR44" s="42">
        <f t="shared" si="180"/>
        <v>12225.000000000004</v>
      </c>
      <c r="BS44" s="42">
        <f t="shared" si="181"/>
        <v>21096.438000000002</v>
      </c>
      <c r="BT44" s="47">
        <f t="shared" si="182"/>
        <v>31051.500000000007</v>
      </c>
      <c r="BU44" s="51">
        <f t="shared" si="183"/>
        <v>2100</v>
      </c>
      <c r="BV44" s="3">
        <f t="shared" si="184"/>
        <v>2430</v>
      </c>
      <c r="BW44" s="3">
        <f t="shared" si="185"/>
        <v>2910</v>
      </c>
      <c r="BX44" s="51">
        <f t="shared" si="186"/>
        <v>2250</v>
      </c>
      <c r="BY44" s="3">
        <f t="shared" si="187"/>
        <v>2580.0000000000005</v>
      </c>
      <c r="BZ44" s="3">
        <f t="shared" si="188"/>
        <v>3060</v>
      </c>
      <c r="CA44" s="51">
        <f t="shared" si="189"/>
        <v>2400</v>
      </c>
      <c r="CB44" s="3">
        <f t="shared" si="190"/>
        <v>2730.0000000000005</v>
      </c>
      <c r="CC44" s="3">
        <f t="shared" si="191"/>
        <v>3210</v>
      </c>
      <c r="CD44" s="51">
        <f t="shared" si="192"/>
        <v>2550.0000000000005</v>
      </c>
      <c r="CE44" s="3">
        <f t="shared" si="193"/>
        <v>2880.0000000000005</v>
      </c>
      <c r="CF44" s="3">
        <f t="shared" si="194"/>
        <v>3360.0000000000005</v>
      </c>
      <c r="CG44" s="51">
        <f t="shared" si="195"/>
        <v>2700.0000000000005</v>
      </c>
      <c r="CH44" s="3">
        <f t="shared" si="196"/>
        <v>3030.0000000000009</v>
      </c>
      <c r="CI44" s="3">
        <f t="shared" si="197"/>
        <v>3510.0000000000005</v>
      </c>
      <c r="CJ44" s="51">
        <f t="shared" si="198"/>
        <v>2850.0000000000005</v>
      </c>
      <c r="CK44" s="3">
        <f t="shared" si="199"/>
        <v>3180.0000000000009</v>
      </c>
      <c r="CL44" s="3">
        <f t="shared" si="200"/>
        <v>3660.0000000000005</v>
      </c>
      <c r="CM44" s="51">
        <f t="shared" si="201"/>
        <v>3000.0000000000005</v>
      </c>
      <c r="CN44" s="3">
        <f t="shared" si="202"/>
        <v>3330.0000000000009</v>
      </c>
      <c r="CO44" s="3">
        <f t="shared" si="203"/>
        <v>3810.0000000000009</v>
      </c>
      <c r="CP44" s="34">
        <v>0.11</v>
      </c>
      <c r="CQ44" s="60">
        <v>2970</v>
      </c>
      <c r="CR44" s="51">
        <f t="shared" si="204"/>
        <v>408.82499999999999</v>
      </c>
      <c r="CS44" s="3">
        <f t="shared" si="205"/>
        <v>623.84093999999993</v>
      </c>
      <c r="CT44" s="3">
        <f t="shared" si="206"/>
        <v>887.89499999999998</v>
      </c>
      <c r="CU44" s="51">
        <f t="shared" si="207"/>
        <v>431.66249999999997</v>
      </c>
      <c r="CV44" s="51">
        <f t="shared" si="208"/>
        <v>656.84964000000002</v>
      </c>
      <c r="CW44" s="3">
        <f t="shared" si="209"/>
        <v>929.06999999999994</v>
      </c>
      <c r="CX44" s="51">
        <f t="shared" si="210"/>
        <v>454.5</v>
      </c>
      <c r="CY44" s="3">
        <f t="shared" si="211"/>
        <v>689.85834</v>
      </c>
      <c r="CZ44" s="3">
        <f t="shared" si="212"/>
        <v>970.245</v>
      </c>
      <c r="DA44" s="51">
        <f t="shared" si="213"/>
        <v>477.33750000000003</v>
      </c>
      <c r="DB44" s="3">
        <f t="shared" si="214"/>
        <v>722.86704000000009</v>
      </c>
      <c r="DC44" s="3">
        <f t="shared" si="215"/>
        <v>1011.42</v>
      </c>
      <c r="DD44" s="51">
        <f t="shared" si="216"/>
        <v>500.17499999999995</v>
      </c>
      <c r="DE44" s="3">
        <f t="shared" si="217"/>
        <v>755.87574000000006</v>
      </c>
      <c r="DF44" s="3">
        <f t="shared" si="218"/>
        <v>1052.5950000000003</v>
      </c>
      <c r="DG44" s="51">
        <f t="shared" si="219"/>
        <v>523.01250000000005</v>
      </c>
      <c r="DH44" s="3">
        <f t="shared" si="220"/>
        <v>788.88444000000015</v>
      </c>
      <c r="DI44" s="3">
        <f t="shared" si="221"/>
        <v>1093.7700000000002</v>
      </c>
      <c r="DJ44" s="51">
        <f t="shared" si="222"/>
        <v>545.85000000000014</v>
      </c>
      <c r="DK44" s="3">
        <f t="shared" si="223"/>
        <v>821.89314000000002</v>
      </c>
      <c r="DL44" s="3">
        <f t="shared" si="224"/>
        <v>1134.9450000000002</v>
      </c>
      <c r="DM44" s="51">
        <f t="shared" si="225"/>
        <v>14036.325000000001</v>
      </c>
      <c r="DN44" s="3">
        <f t="shared" si="226"/>
        <v>21418.538939999995</v>
      </c>
      <c r="DO44" s="3">
        <f t="shared" si="227"/>
        <v>30484.395</v>
      </c>
      <c r="DP44" s="51">
        <f t="shared" si="228"/>
        <v>14820.4125</v>
      </c>
      <c r="DQ44" s="51">
        <f t="shared" si="229"/>
        <v>22551.837640000002</v>
      </c>
      <c r="DR44" s="3">
        <f t="shared" si="230"/>
        <v>31898.07</v>
      </c>
      <c r="DS44" s="51">
        <f t="shared" si="231"/>
        <v>15604.5</v>
      </c>
      <c r="DT44" s="3">
        <f t="shared" si="232"/>
        <v>23685.136340000001</v>
      </c>
      <c r="DU44" s="3">
        <f t="shared" si="233"/>
        <v>33311.745000000003</v>
      </c>
      <c r="DV44" s="51">
        <f t="shared" si="234"/>
        <v>16388.587500000001</v>
      </c>
      <c r="DW44" s="3">
        <f t="shared" si="235"/>
        <v>24818.435040000004</v>
      </c>
      <c r="DX44" s="3">
        <f t="shared" si="236"/>
        <v>34725.42</v>
      </c>
      <c r="DY44" s="51">
        <f t="shared" si="237"/>
        <v>17172.674999999999</v>
      </c>
      <c r="DZ44" s="3">
        <f t="shared" si="238"/>
        <v>25951.733740000003</v>
      </c>
      <c r="EA44" s="3">
        <f t="shared" si="239"/>
        <v>36139.095000000008</v>
      </c>
      <c r="EB44" s="51">
        <f t="shared" si="240"/>
        <v>17956.762500000004</v>
      </c>
      <c r="EC44" s="3">
        <f t="shared" si="241"/>
        <v>27085.032440000006</v>
      </c>
      <c r="ED44" s="3">
        <f t="shared" si="242"/>
        <v>37552.770000000004</v>
      </c>
      <c r="EE44" s="51">
        <f t="shared" si="243"/>
        <v>18740.850000000002</v>
      </c>
      <c r="EF44" s="3">
        <f t="shared" si="244"/>
        <v>28218.331140000002</v>
      </c>
      <c r="EG44" s="3">
        <f t="shared" si="245"/>
        <v>38966.445000000007</v>
      </c>
    </row>
    <row r="45" spans="1:137" ht="18.75" x14ac:dyDescent="0.25">
      <c r="A45" s="2" t="s">
        <v>6</v>
      </c>
      <c r="B45" s="2" t="s">
        <v>179</v>
      </c>
      <c r="C45" s="2">
        <f>I1</f>
        <v>16300</v>
      </c>
      <c r="D45" s="2">
        <v>2.5720000000000001</v>
      </c>
      <c r="E45" s="2">
        <v>2.9620000000000002</v>
      </c>
      <c r="F45" s="2">
        <v>3.4620000000000002</v>
      </c>
      <c r="G45" s="4">
        <v>2.36</v>
      </c>
      <c r="H45" s="4">
        <v>2.75</v>
      </c>
      <c r="I45" s="89">
        <v>3.25</v>
      </c>
      <c r="J45" s="97">
        <v>2.5720000000000001</v>
      </c>
      <c r="K45" s="2">
        <v>2.9620000000000002</v>
      </c>
      <c r="L45" s="98">
        <v>3.4620000000000002</v>
      </c>
      <c r="M45" s="97">
        <f t="shared" si="126"/>
        <v>2.6720000000000002</v>
      </c>
      <c r="N45" s="2">
        <f t="shared" si="127"/>
        <v>3.0620000000000003</v>
      </c>
      <c r="O45" s="98">
        <f t="shared" si="128"/>
        <v>3.5620000000000003</v>
      </c>
      <c r="P45" s="97">
        <f t="shared" si="129"/>
        <v>2.7720000000000002</v>
      </c>
      <c r="Q45" s="2">
        <f t="shared" si="130"/>
        <v>3.1620000000000004</v>
      </c>
      <c r="R45" s="98">
        <f t="shared" si="131"/>
        <v>3.6620000000000004</v>
      </c>
      <c r="S45" s="97">
        <f t="shared" si="132"/>
        <v>2.8720000000000003</v>
      </c>
      <c r="T45" s="2">
        <f t="shared" si="133"/>
        <v>3.2620000000000005</v>
      </c>
      <c r="U45" s="98">
        <f t="shared" si="134"/>
        <v>3.7620000000000005</v>
      </c>
      <c r="V45" s="97">
        <f t="shared" si="135"/>
        <v>2.9720000000000004</v>
      </c>
      <c r="W45" s="2">
        <f t="shared" si="136"/>
        <v>3.3620000000000005</v>
      </c>
      <c r="X45" s="98">
        <f t="shared" si="137"/>
        <v>3.8620000000000005</v>
      </c>
      <c r="Y45" s="97">
        <f t="shared" si="138"/>
        <v>3.0720000000000005</v>
      </c>
      <c r="Z45" s="2">
        <f t="shared" si="139"/>
        <v>3.4620000000000006</v>
      </c>
      <c r="AA45" s="98">
        <f t="shared" si="140"/>
        <v>3.9620000000000006</v>
      </c>
      <c r="AB45" s="97">
        <f t="shared" si="141"/>
        <v>3.1720000000000006</v>
      </c>
      <c r="AC45" s="2">
        <f t="shared" si="142"/>
        <v>3.5620000000000007</v>
      </c>
      <c r="AD45" s="98">
        <f t="shared" si="143"/>
        <v>4.0620000000000003</v>
      </c>
      <c r="AE45" s="52">
        <v>2.36</v>
      </c>
      <c r="AF45" s="4">
        <v>2.75</v>
      </c>
      <c r="AG45" s="4">
        <v>3.25</v>
      </c>
      <c r="AH45" s="41">
        <f t="shared" si="144"/>
        <v>2.46</v>
      </c>
      <c r="AI45" s="41">
        <f t="shared" si="145"/>
        <v>2.85</v>
      </c>
      <c r="AJ45" s="41">
        <f t="shared" si="146"/>
        <v>3.35</v>
      </c>
      <c r="AK45" s="41">
        <f t="shared" si="147"/>
        <v>2.56</v>
      </c>
      <c r="AL45" s="42">
        <f t="shared" si="148"/>
        <v>2.95</v>
      </c>
      <c r="AM45" s="42">
        <f t="shared" si="149"/>
        <v>3.45</v>
      </c>
      <c r="AN45" s="42">
        <f t="shared" si="150"/>
        <v>2.66</v>
      </c>
      <c r="AO45" s="42">
        <f t="shared" si="151"/>
        <v>3.0500000000000003</v>
      </c>
      <c r="AP45" s="42">
        <f t="shared" si="152"/>
        <v>3.5500000000000003</v>
      </c>
      <c r="AQ45" s="42">
        <f t="shared" si="153"/>
        <v>2.7600000000000002</v>
      </c>
      <c r="AR45" s="42">
        <f t="shared" si="154"/>
        <v>3.1500000000000004</v>
      </c>
      <c r="AS45" s="42">
        <f t="shared" si="155"/>
        <v>3.6500000000000004</v>
      </c>
      <c r="AT45" s="42">
        <f t="shared" si="156"/>
        <v>2.8600000000000003</v>
      </c>
      <c r="AU45" s="42">
        <f t="shared" si="157"/>
        <v>3.2500000000000004</v>
      </c>
      <c r="AV45" s="42">
        <f t="shared" si="158"/>
        <v>3.7500000000000004</v>
      </c>
      <c r="AW45" s="42">
        <f t="shared" si="159"/>
        <v>2.9600000000000004</v>
      </c>
      <c r="AX45" s="42">
        <f t="shared" si="160"/>
        <v>3.3500000000000005</v>
      </c>
      <c r="AY45" s="47">
        <f t="shared" si="161"/>
        <v>3.8500000000000005</v>
      </c>
      <c r="AZ45" s="51">
        <f t="shared" si="162"/>
        <v>14425.5</v>
      </c>
      <c r="BA45" s="3">
        <f t="shared" si="163"/>
        <v>26132.974999999999</v>
      </c>
      <c r="BB45" s="3">
        <f t="shared" si="164"/>
        <v>39731.25</v>
      </c>
      <c r="BC45" s="41">
        <f t="shared" si="165"/>
        <v>15036.75</v>
      </c>
      <c r="BD45" s="41">
        <f t="shared" si="166"/>
        <v>27083.264999999999</v>
      </c>
      <c r="BE45" s="41">
        <f t="shared" si="167"/>
        <v>40953.75</v>
      </c>
      <c r="BF45" s="41">
        <f t="shared" si="168"/>
        <v>15648</v>
      </c>
      <c r="BG45" s="42">
        <f t="shared" si="169"/>
        <v>28033.554999999997</v>
      </c>
      <c r="BH45" s="42">
        <f t="shared" si="170"/>
        <v>42176.25</v>
      </c>
      <c r="BI45" s="42">
        <f t="shared" si="171"/>
        <v>16259.25</v>
      </c>
      <c r="BJ45" s="42">
        <f t="shared" si="172"/>
        <v>28983.845000000001</v>
      </c>
      <c r="BK45" s="42">
        <f t="shared" si="173"/>
        <v>43398.750000000007</v>
      </c>
      <c r="BL45" s="42">
        <f t="shared" si="174"/>
        <v>16870.500000000004</v>
      </c>
      <c r="BM45" s="42">
        <f t="shared" si="175"/>
        <v>29934.135000000002</v>
      </c>
      <c r="BN45" s="42">
        <f t="shared" si="176"/>
        <v>44621.250000000007</v>
      </c>
      <c r="BO45" s="42">
        <f t="shared" si="177"/>
        <v>17481.750000000004</v>
      </c>
      <c r="BP45" s="42">
        <f t="shared" si="178"/>
        <v>30884.425000000003</v>
      </c>
      <c r="BQ45" s="42">
        <f t="shared" si="179"/>
        <v>45843.750000000007</v>
      </c>
      <c r="BR45" s="42">
        <f t="shared" si="180"/>
        <v>18093.000000000004</v>
      </c>
      <c r="BS45" s="42">
        <f t="shared" si="181"/>
        <v>31834.715000000004</v>
      </c>
      <c r="BT45" s="47">
        <f t="shared" si="182"/>
        <v>47066.250000000007</v>
      </c>
      <c r="BU45" s="51">
        <f t="shared" si="183"/>
        <v>3540</v>
      </c>
      <c r="BV45" s="3">
        <f t="shared" si="184"/>
        <v>4125</v>
      </c>
      <c r="BW45" s="3">
        <f t="shared" si="185"/>
        <v>4875</v>
      </c>
      <c r="BX45" s="51">
        <f t="shared" si="186"/>
        <v>3690</v>
      </c>
      <c r="BY45" s="3">
        <f t="shared" si="187"/>
        <v>4275</v>
      </c>
      <c r="BZ45" s="3">
        <f t="shared" si="188"/>
        <v>5025</v>
      </c>
      <c r="CA45" s="51">
        <f t="shared" si="189"/>
        <v>3840</v>
      </c>
      <c r="CB45" s="3">
        <f t="shared" si="190"/>
        <v>4425</v>
      </c>
      <c r="CC45" s="3">
        <f t="shared" si="191"/>
        <v>5175</v>
      </c>
      <c r="CD45" s="51">
        <f t="shared" si="192"/>
        <v>3990</v>
      </c>
      <c r="CE45" s="3">
        <f t="shared" si="193"/>
        <v>4575</v>
      </c>
      <c r="CF45" s="3">
        <f t="shared" si="194"/>
        <v>5325</v>
      </c>
      <c r="CG45" s="51">
        <f t="shared" si="195"/>
        <v>4140</v>
      </c>
      <c r="CH45" s="3">
        <f t="shared" si="196"/>
        <v>4725.0000000000009</v>
      </c>
      <c r="CI45" s="3">
        <f t="shared" si="197"/>
        <v>5475.0000000000009</v>
      </c>
      <c r="CJ45" s="51">
        <f t="shared" si="198"/>
        <v>4290.0000000000009</v>
      </c>
      <c r="CK45" s="3">
        <f t="shared" si="199"/>
        <v>4875.0000000000009</v>
      </c>
      <c r="CL45" s="3">
        <f t="shared" si="200"/>
        <v>5625.0000000000009</v>
      </c>
      <c r="CM45" s="51">
        <f t="shared" si="201"/>
        <v>4440.0000000000009</v>
      </c>
      <c r="CN45" s="3">
        <f t="shared" si="202"/>
        <v>5025.0000000000009</v>
      </c>
      <c r="CO45" s="3">
        <f t="shared" si="203"/>
        <v>5775.0000000000009</v>
      </c>
      <c r="CP45" s="34">
        <v>1.06</v>
      </c>
      <c r="CQ45" s="60">
        <v>34980</v>
      </c>
      <c r="CR45" s="51">
        <f t="shared" si="204"/>
        <v>1588.365</v>
      </c>
      <c r="CS45" s="3">
        <f t="shared" si="205"/>
        <v>1957.1392499999999</v>
      </c>
      <c r="CT45" s="3">
        <f t="shared" si="206"/>
        <v>2387.5875000000001</v>
      </c>
      <c r="CU45" s="51">
        <f t="shared" si="207"/>
        <v>1611.2024999999999</v>
      </c>
      <c r="CV45" s="51">
        <f t="shared" si="208"/>
        <v>1990.1479499999998</v>
      </c>
      <c r="CW45" s="3">
        <f t="shared" si="209"/>
        <v>2428.7624999999998</v>
      </c>
      <c r="CX45" s="51">
        <f t="shared" si="210"/>
        <v>1634.04</v>
      </c>
      <c r="CY45" s="3">
        <f t="shared" si="211"/>
        <v>2023.1566499999997</v>
      </c>
      <c r="CZ45" s="3">
        <f t="shared" si="212"/>
        <v>2469.9375</v>
      </c>
      <c r="DA45" s="51">
        <f t="shared" si="213"/>
        <v>1656.8774999999998</v>
      </c>
      <c r="DB45" s="3">
        <f t="shared" si="214"/>
        <v>2056.1653499999998</v>
      </c>
      <c r="DC45" s="3">
        <f t="shared" si="215"/>
        <v>2511.1124999999997</v>
      </c>
      <c r="DD45" s="51">
        <f t="shared" si="216"/>
        <v>1679.7149999999999</v>
      </c>
      <c r="DE45" s="3">
        <f t="shared" si="217"/>
        <v>2089.1740500000001</v>
      </c>
      <c r="DF45" s="3">
        <f t="shared" si="218"/>
        <v>2552.2874999999999</v>
      </c>
      <c r="DG45" s="51">
        <f t="shared" si="219"/>
        <v>1702.5525</v>
      </c>
      <c r="DH45" s="3">
        <f t="shared" si="220"/>
        <v>2122.1827499999999</v>
      </c>
      <c r="DI45" s="3">
        <f t="shared" si="221"/>
        <v>2593.4625000000001</v>
      </c>
      <c r="DJ45" s="51">
        <f t="shared" si="222"/>
        <v>1725.3899999999999</v>
      </c>
      <c r="DK45" s="3">
        <f t="shared" si="223"/>
        <v>2155.1914499999998</v>
      </c>
      <c r="DL45" s="3">
        <f t="shared" si="224"/>
        <v>2634.6374999999998</v>
      </c>
      <c r="DM45" s="51">
        <f t="shared" si="225"/>
        <v>54533.864999999998</v>
      </c>
      <c r="DN45" s="3">
        <f t="shared" si="226"/>
        <v>67195.114249999999</v>
      </c>
      <c r="DO45" s="3">
        <f t="shared" si="227"/>
        <v>81973.837499999994</v>
      </c>
      <c r="DP45" s="51">
        <f t="shared" si="228"/>
        <v>55317.952499999999</v>
      </c>
      <c r="DQ45" s="51">
        <f t="shared" si="229"/>
        <v>68328.412949999998</v>
      </c>
      <c r="DR45" s="3">
        <f t="shared" si="230"/>
        <v>83387.512499999997</v>
      </c>
      <c r="DS45" s="51">
        <f t="shared" si="231"/>
        <v>56102.04</v>
      </c>
      <c r="DT45" s="3">
        <f t="shared" si="232"/>
        <v>69461.711649999997</v>
      </c>
      <c r="DU45" s="3">
        <f t="shared" si="233"/>
        <v>84801.1875</v>
      </c>
      <c r="DV45" s="51">
        <f t="shared" si="234"/>
        <v>56886.127500000002</v>
      </c>
      <c r="DW45" s="3">
        <f t="shared" si="235"/>
        <v>70595.010349999997</v>
      </c>
      <c r="DX45" s="3">
        <f t="shared" si="236"/>
        <v>86214.862500000003</v>
      </c>
      <c r="DY45" s="51">
        <f t="shared" si="237"/>
        <v>57670.214999999997</v>
      </c>
      <c r="DZ45" s="3">
        <f t="shared" si="238"/>
        <v>71728.309050000011</v>
      </c>
      <c r="EA45" s="3">
        <f t="shared" si="239"/>
        <v>87628.537500000006</v>
      </c>
      <c r="EB45" s="51">
        <f t="shared" si="240"/>
        <v>58454.302499999998</v>
      </c>
      <c r="EC45" s="3">
        <f t="shared" si="241"/>
        <v>72861.607749999996</v>
      </c>
      <c r="ED45" s="3">
        <f t="shared" si="242"/>
        <v>89042.212499999994</v>
      </c>
      <c r="EE45" s="51">
        <f t="shared" si="243"/>
        <v>59238.39</v>
      </c>
      <c r="EF45" s="3">
        <f t="shared" si="244"/>
        <v>73994.906449999995</v>
      </c>
      <c r="EG45" s="3">
        <f t="shared" si="245"/>
        <v>90455.887499999997</v>
      </c>
    </row>
    <row r="46" spans="1:137" ht="18.75" x14ac:dyDescent="0.25">
      <c r="A46" s="2" t="s">
        <v>6</v>
      </c>
      <c r="B46" s="2" t="s">
        <v>182</v>
      </c>
      <c r="C46" s="2">
        <f>I1</f>
        <v>16300</v>
      </c>
      <c r="D46" s="2">
        <v>2.8820000000000001</v>
      </c>
      <c r="E46" s="2">
        <v>3.2919999999999998</v>
      </c>
      <c r="F46" s="2">
        <v>3.8820000000000001</v>
      </c>
      <c r="G46" s="4">
        <v>2.57</v>
      </c>
      <c r="H46" s="4">
        <v>2.98</v>
      </c>
      <c r="I46" s="89">
        <v>3.57</v>
      </c>
      <c r="J46" s="97">
        <v>2.8820000000000001</v>
      </c>
      <c r="K46" s="2">
        <v>3.2919999999999998</v>
      </c>
      <c r="L46" s="98">
        <v>3.8820000000000001</v>
      </c>
      <c r="M46" s="97">
        <f t="shared" si="126"/>
        <v>2.9820000000000002</v>
      </c>
      <c r="N46" s="2">
        <f t="shared" si="127"/>
        <v>3.3919999999999999</v>
      </c>
      <c r="O46" s="98">
        <f t="shared" si="128"/>
        <v>3.9820000000000002</v>
      </c>
      <c r="P46" s="97">
        <f t="shared" si="129"/>
        <v>3.0820000000000003</v>
      </c>
      <c r="Q46" s="2">
        <f t="shared" si="130"/>
        <v>3.492</v>
      </c>
      <c r="R46" s="98">
        <f t="shared" si="131"/>
        <v>4.0819999999999999</v>
      </c>
      <c r="S46" s="97">
        <f t="shared" si="132"/>
        <v>3.1820000000000004</v>
      </c>
      <c r="T46" s="2">
        <f t="shared" si="133"/>
        <v>3.5920000000000001</v>
      </c>
      <c r="U46" s="98">
        <f t="shared" si="134"/>
        <v>4.1819999999999995</v>
      </c>
      <c r="V46" s="97">
        <f t="shared" si="135"/>
        <v>3.2820000000000005</v>
      </c>
      <c r="W46" s="2">
        <f t="shared" si="136"/>
        <v>3.6920000000000002</v>
      </c>
      <c r="X46" s="98">
        <f t="shared" si="137"/>
        <v>4.2819999999999991</v>
      </c>
      <c r="Y46" s="97">
        <f t="shared" si="138"/>
        <v>3.3820000000000006</v>
      </c>
      <c r="Z46" s="2">
        <f t="shared" si="139"/>
        <v>3.7920000000000003</v>
      </c>
      <c r="AA46" s="98">
        <f t="shared" si="140"/>
        <v>4.3819999999999988</v>
      </c>
      <c r="AB46" s="97">
        <f t="shared" si="141"/>
        <v>3.4820000000000007</v>
      </c>
      <c r="AC46" s="2">
        <f t="shared" si="142"/>
        <v>3.8920000000000003</v>
      </c>
      <c r="AD46" s="98">
        <f t="shared" si="143"/>
        <v>4.4819999999999984</v>
      </c>
      <c r="AE46" s="52">
        <v>2.57</v>
      </c>
      <c r="AF46" s="4">
        <v>2.98</v>
      </c>
      <c r="AG46" s="4">
        <v>3.57</v>
      </c>
      <c r="AH46" s="41">
        <f t="shared" si="144"/>
        <v>2.67</v>
      </c>
      <c r="AI46" s="41">
        <f t="shared" si="145"/>
        <v>3.08</v>
      </c>
      <c r="AJ46" s="41">
        <f t="shared" si="146"/>
        <v>3.67</v>
      </c>
      <c r="AK46" s="41">
        <f t="shared" si="147"/>
        <v>2.77</v>
      </c>
      <c r="AL46" s="42">
        <f t="shared" si="148"/>
        <v>3.18</v>
      </c>
      <c r="AM46" s="42">
        <f t="shared" si="149"/>
        <v>3.77</v>
      </c>
      <c r="AN46" s="42">
        <f t="shared" si="150"/>
        <v>2.87</v>
      </c>
      <c r="AO46" s="42">
        <f t="shared" si="151"/>
        <v>3.2800000000000002</v>
      </c>
      <c r="AP46" s="42">
        <f t="shared" si="152"/>
        <v>3.87</v>
      </c>
      <c r="AQ46" s="42">
        <f t="shared" si="153"/>
        <v>2.97</v>
      </c>
      <c r="AR46" s="42">
        <f t="shared" si="154"/>
        <v>3.3800000000000003</v>
      </c>
      <c r="AS46" s="42">
        <f t="shared" si="155"/>
        <v>3.97</v>
      </c>
      <c r="AT46" s="42">
        <f t="shared" si="156"/>
        <v>3.0700000000000003</v>
      </c>
      <c r="AU46" s="42">
        <f t="shared" si="157"/>
        <v>3.4800000000000004</v>
      </c>
      <c r="AV46" s="42">
        <f t="shared" si="158"/>
        <v>4.07</v>
      </c>
      <c r="AW46" s="42">
        <f t="shared" si="159"/>
        <v>3.1700000000000004</v>
      </c>
      <c r="AX46" s="42">
        <f t="shared" si="160"/>
        <v>3.5800000000000005</v>
      </c>
      <c r="AY46" s="47">
        <f t="shared" si="161"/>
        <v>4.17</v>
      </c>
      <c r="AZ46" s="51">
        <f t="shared" si="162"/>
        <v>15709.125</v>
      </c>
      <c r="BA46" s="3">
        <f t="shared" si="163"/>
        <v>28318.642</v>
      </c>
      <c r="BB46" s="3">
        <f t="shared" si="164"/>
        <v>43643.25</v>
      </c>
      <c r="BC46" s="41">
        <f t="shared" si="165"/>
        <v>16320.375</v>
      </c>
      <c r="BD46" s="41">
        <f t="shared" si="166"/>
        <v>29268.931999999997</v>
      </c>
      <c r="BE46" s="41">
        <f t="shared" si="167"/>
        <v>44865.75</v>
      </c>
      <c r="BF46" s="41">
        <f t="shared" si="168"/>
        <v>16931.625</v>
      </c>
      <c r="BG46" s="42">
        <f t="shared" si="169"/>
        <v>30219.221999999998</v>
      </c>
      <c r="BH46" s="42">
        <f t="shared" si="170"/>
        <v>46088.25</v>
      </c>
      <c r="BI46" s="42">
        <f t="shared" si="171"/>
        <v>17542.875</v>
      </c>
      <c r="BJ46" s="42">
        <f t="shared" si="172"/>
        <v>31169.512000000002</v>
      </c>
      <c r="BK46" s="42">
        <f t="shared" si="173"/>
        <v>47310.75</v>
      </c>
      <c r="BL46" s="42">
        <f t="shared" si="174"/>
        <v>18154.125</v>
      </c>
      <c r="BM46" s="42">
        <f t="shared" si="175"/>
        <v>32119.802000000003</v>
      </c>
      <c r="BN46" s="42">
        <f t="shared" si="176"/>
        <v>48533.25</v>
      </c>
      <c r="BO46" s="42">
        <f t="shared" si="177"/>
        <v>18765.375000000004</v>
      </c>
      <c r="BP46" s="42">
        <f t="shared" si="178"/>
        <v>33070.092000000004</v>
      </c>
      <c r="BQ46" s="42">
        <f t="shared" si="179"/>
        <v>49755.75</v>
      </c>
      <c r="BR46" s="42">
        <f t="shared" si="180"/>
        <v>19376.625000000004</v>
      </c>
      <c r="BS46" s="42">
        <f t="shared" si="181"/>
        <v>34020.382000000005</v>
      </c>
      <c r="BT46" s="47">
        <f t="shared" si="182"/>
        <v>50978.25</v>
      </c>
      <c r="BU46" s="51">
        <f t="shared" si="183"/>
        <v>3854.9999999999995</v>
      </c>
      <c r="BV46" s="3">
        <f t="shared" si="184"/>
        <v>4470</v>
      </c>
      <c r="BW46" s="3">
        <f t="shared" si="185"/>
        <v>5355</v>
      </c>
      <c r="BX46" s="51">
        <f t="shared" si="186"/>
        <v>4005</v>
      </c>
      <c r="BY46" s="3">
        <f t="shared" si="187"/>
        <v>4620</v>
      </c>
      <c r="BZ46" s="3">
        <f t="shared" si="188"/>
        <v>5505</v>
      </c>
      <c r="CA46" s="51">
        <f t="shared" si="189"/>
        <v>4155</v>
      </c>
      <c r="CB46" s="3">
        <f t="shared" si="190"/>
        <v>4770</v>
      </c>
      <c r="CC46" s="3">
        <f t="shared" si="191"/>
        <v>5655</v>
      </c>
      <c r="CD46" s="51">
        <f t="shared" si="192"/>
        <v>4305</v>
      </c>
      <c r="CE46" s="3">
        <f t="shared" si="193"/>
        <v>4920</v>
      </c>
      <c r="CF46" s="3">
        <f t="shared" si="194"/>
        <v>5805</v>
      </c>
      <c r="CG46" s="51">
        <f t="shared" si="195"/>
        <v>4455</v>
      </c>
      <c r="CH46" s="3">
        <f t="shared" si="196"/>
        <v>5070.0000000000009</v>
      </c>
      <c r="CI46" s="3">
        <f t="shared" si="197"/>
        <v>5955</v>
      </c>
      <c r="CJ46" s="51">
        <f t="shared" si="198"/>
        <v>4605</v>
      </c>
      <c r="CK46" s="3">
        <f t="shared" si="199"/>
        <v>5220.0000000000009</v>
      </c>
      <c r="CL46" s="3">
        <f t="shared" si="200"/>
        <v>6105</v>
      </c>
      <c r="CM46" s="51">
        <f t="shared" si="201"/>
        <v>4755.0000000000009</v>
      </c>
      <c r="CN46" s="3">
        <f t="shared" si="202"/>
        <v>5370.0000000000009</v>
      </c>
      <c r="CO46" s="3">
        <f t="shared" si="203"/>
        <v>6255</v>
      </c>
      <c r="CP46" s="34">
        <v>0.99</v>
      </c>
      <c r="CQ46" s="60">
        <v>29520</v>
      </c>
      <c r="CR46" s="51">
        <f t="shared" si="204"/>
        <v>1472.5237499999998</v>
      </c>
      <c r="CS46" s="3">
        <f t="shared" si="205"/>
        <v>1869.2592599999998</v>
      </c>
      <c r="CT46" s="3">
        <f t="shared" si="206"/>
        <v>2355.5475000000001</v>
      </c>
      <c r="CU46" s="51">
        <f t="shared" si="207"/>
        <v>1495.3612499999999</v>
      </c>
      <c r="CV46" s="51">
        <f t="shared" si="208"/>
        <v>1902.2679599999999</v>
      </c>
      <c r="CW46" s="3">
        <f t="shared" si="209"/>
        <v>2396.7224999999999</v>
      </c>
      <c r="CX46" s="51">
        <f t="shared" si="210"/>
        <v>1518.19875</v>
      </c>
      <c r="CY46" s="3">
        <f t="shared" si="211"/>
        <v>1935.2766599999998</v>
      </c>
      <c r="CZ46" s="3">
        <f t="shared" si="212"/>
        <v>2437.8975</v>
      </c>
      <c r="DA46" s="51">
        <f t="shared" si="213"/>
        <v>1541.0362499999999</v>
      </c>
      <c r="DB46" s="3">
        <f t="shared" si="214"/>
        <v>1968.2853600000001</v>
      </c>
      <c r="DC46" s="3">
        <f t="shared" si="215"/>
        <v>2479.0724999999998</v>
      </c>
      <c r="DD46" s="51">
        <f t="shared" si="216"/>
        <v>1563.87375</v>
      </c>
      <c r="DE46" s="3">
        <f t="shared" si="217"/>
        <v>2001.2940599999997</v>
      </c>
      <c r="DF46" s="3">
        <f t="shared" si="218"/>
        <v>2520.2474999999999</v>
      </c>
      <c r="DG46" s="51">
        <f t="shared" si="219"/>
        <v>1586.7112499999998</v>
      </c>
      <c r="DH46" s="3">
        <f t="shared" si="220"/>
        <v>2034.30276</v>
      </c>
      <c r="DI46" s="3">
        <f t="shared" si="221"/>
        <v>2561.4225000000001</v>
      </c>
      <c r="DJ46" s="51">
        <f t="shared" si="222"/>
        <v>1609.5487499999999</v>
      </c>
      <c r="DK46" s="3">
        <f t="shared" si="223"/>
        <v>2067.3114600000004</v>
      </c>
      <c r="DL46" s="3">
        <f t="shared" si="224"/>
        <v>2602.5974999999999</v>
      </c>
      <c r="DM46" s="51">
        <f t="shared" si="225"/>
        <v>50556.64875</v>
      </c>
      <c r="DN46" s="3">
        <f t="shared" si="226"/>
        <v>64177.901259999999</v>
      </c>
      <c r="DO46" s="3">
        <f t="shared" si="227"/>
        <v>80873.797500000001</v>
      </c>
      <c r="DP46" s="51">
        <f t="shared" si="228"/>
        <v>51340.736250000002</v>
      </c>
      <c r="DQ46" s="51">
        <f t="shared" si="229"/>
        <v>65311.199959999998</v>
      </c>
      <c r="DR46" s="3">
        <f t="shared" si="230"/>
        <v>82287.472500000003</v>
      </c>
      <c r="DS46" s="51">
        <f t="shared" si="231"/>
        <v>52124.823750000003</v>
      </c>
      <c r="DT46" s="3">
        <f t="shared" si="232"/>
        <v>66444.498659999997</v>
      </c>
      <c r="DU46" s="3">
        <f t="shared" si="233"/>
        <v>83701.147500000006</v>
      </c>
      <c r="DV46" s="51">
        <f t="shared" si="234"/>
        <v>52908.911249999997</v>
      </c>
      <c r="DW46" s="3">
        <f t="shared" si="235"/>
        <v>67577.797359999997</v>
      </c>
      <c r="DX46" s="3">
        <f t="shared" si="236"/>
        <v>85114.822499999995</v>
      </c>
      <c r="DY46" s="51">
        <f t="shared" si="237"/>
        <v>53692.998749999999</v>
      </c>
      <c r="DZ46" s="3">
        <f t="shared" si="238"/>
        <v>68711.096059999996</v>
      </c>
      <c r="EA46" s="3">
        <f t="shared" si="239"/>
        <v>86528.497499999998</v>
      </c>
      <c r="EB46" s="51">
        <f t="shared" si="240"/>
        <v>54477.08625</v>
      </c>
      <c r="EC46" s="3">
        <f t="shared" si="241"/>
        <v>69844.39476000001</v>
      </c>
      <c r="ED46" s="3">
        <f t="shared" si="242"/>
        <v>87942.172500000001</v>
      </c>
      <c r="EE46" s="51">
        <f t="shared" si="243"/>
        <v>55261.173750000002</v>
      </c>
      <c r="EF46" s="3">
        <f t="shared" si="244"/>
        <v>70977.69346000001</v>
      </c>
      <c r="EG46" s="3">
        <f t="shared" si="245"/>
        <v>89355.847500000003</v>
      </c>
    </row>
    <row r="47" spans="1:137" ht="18.75" x14ac:dyDescent="0.25">
      <c r="A47" s="2" t="s">
        <v>6</v>
      </c>
      <c r="B47" s="2" t="s">
        <v>185</v>
      </c>
      <c r="C47" s="2">
        <f>I1</f>
        <v>16300</v>
      </c>
      <c r="D47" s="2">
        <v>5.734</v>
      </c>
      <c r="E47" s="2">
        <v>6.5839999999999996</v>
      </c>
      <c r="F47" s="2">
        <v>7.774</v>
      </c>
      <c r="G47" s="4">
        <v>5.21</v>
      </c>
      <c r="H47" s="4">
        <v>6.06</v>
      </c>
      <c r="I47" s="89">
        <v>7.25</v>
      </c>
      <c r="J47" s="97">
        <v>5.734</v>
      </c>
      <c r="K47" s="2">
        <v>6.5839999999999996</v>
      </c>
      <c r="L47" s="98">
        <v>7.774</v>
      </c>
      <c r="M47" s="97">
        <f t="shared" si="126"/>
        <v>5.8339999999999996</v>
      </c>
      <c r="N47" s="2">
        <f t="shared" si="127"/>
        <v>6.6839999999999993</v>
      </c>
      <c r="O47" s="98">
        <f t="shared" si="128"/>
        <v>7.8739999999999997</v>
      </c>
      <c r="P47" s="97">
        <f t="shared" si="129"/>
        <v>5.9339999999999993</v>
      </c>
      <c r="Q47" s="2">
        <f t="shared" si="130"/>
        <v>6.7839999999999989</v>
      </c>
      <c r="R47" s="98">
        <f t="shared" si="131"/>
        <v>7.9739999999999993</v>
      </c>
      <c r="S47" s="97">
        <f t="shared" si="132"/>
        <v>6.0339999999999989</v>
      </c>
      <c r="T47" s="2">
        <f t="shared" si="133"/>
        <v>6.8839999999999986</v>
      </c>
      <c r="U47" s="98">
        <f t="shared" si="134"/>
        <v>8.0739999999999998</v>
      </c>
      <c r="V47" s="97">
        <f t="shared" si="135"/>
        <v>6.1339999999999986</v>
      </c>
      <c r="W47" s="2">
        <f t="shared" si="136"/>
        <v>6.9839999999999982</v>
      </c>
      <c r="X47" s="98">
        <f t="shared" si="137"/>
        <v>8.1739999999999995</v>
      </c>
      <c r="Y47" s="97">
        <f t="shared" si="138"/>
        <v>6.2339999999999982</v>
      </c>
      <c r="Z47" s="2">
        <f t="shared" si="139"/>
        <v>7.0839999999999979</v>
      </c>
      <c r="AA47" s="98">
        <f t="shared" si="140"/>
        <v>8.2739999999999991</v>
      </c>
      <c r="AB47" s="97">
        <f t="shared" si="141"/>
        <v>6.3339999999999979</v>
      </c>
      <c r="AC47" s="2">
        <f t="shared" si="142"/>
        <v>7.1839999999999975</v>
      </c>
      <c r="AD47" s="98">
        <f t="shared" si="143"/>
        <v>8.3739999999999988</v>
      </c>
      <c r="AE47" s="52">
        <v>5.21</v>
      </c>
      <c r="AF47" s="4">
        <v>6.06</v>
      </c>
      <c r="AG47" s="4">
        <v>7.25</v>
      </c>
      <c r="AH47" s="41">
        <f t="shared" si="144"/>
        <v>5.31</v>
      </c>
      <c r="AI47" s="41">
        <f t="shared" si="145"/>
        <v>6.1599999999999993</v>
      </c>
      <c r="AJ47" s="41">
        <f t="shared" si="146"/>
        <v>7.35</v>
      </c>
      <c r="AK47" s="41">
        <f t="shared" si="147"/>
        <v>5.4099999999999993</v>
      </c>
      <c r="AL47" s="42">
        <f t="shared" si="148"/>
        <v>6.2599999999999989</v>
      </c>
      <c r="AM47" s="42">
        <f t="shared" si="149"/>
        <v>7.4499999999999993</v>
      </c>
      <c r="AN47" s="42">
        <f t="shared" si="150"/>
        <v>5.5099999999999989</v>
      </c>
      <c r="AO47" s="42">
        <f t="shared" si="151"/>
        <v>6.3599999999999985</v>
      </c>
      <c r="AP47" s="42">
        <f t="shared" si="152"/>
        <v>7.5499999999999989</v>
      </c>
      <c r="AQ47" s="42">
        <f t="shared" si="153"/>
        <v>5.6099999999999985</v>
      </c>
      <c r="AR47" s="42">
        <f t="shared" si="154"/>
        <v>6.4599999999999982</v>
      </c>
      <c r="AS47" s="42">
        <f t="shared" si="155"/>
        <v>7.6499999999999986</v>
      </c>
      <c r="AT47" s="42">
        <f t="shared" si="156"/>
        <v>5.7099999999999982</v>
      </c>
      <c r="AU47" s="42">
        <f t="shared" si="157"/>
        <v>6.5599999999999978</v>
      </c>
      <c r="AV47" s="42">
        <f t="shared" si="158"/>
        <v>7.7499999999999982</v>
      </c>
      <c r="AW47" s="42">
        <f t="shared" si="159"/>
        <v>5.8099999999999978</v>
      </c>
      <c r="AX47" s="42">
        <f t="shared" si="160"/>
        <v>6.6599999999999975</v>
      </c>
      <c r="AY47" s="47">
        <f t="shared" si="161"/>
        <v>7.8499999999999979</v>
      </c>
      <c r="AZ47" s="51">
        <f t="shared" si="162"/>
        <v>31846.125</v>
      </c>
      <c r="BA47" s="3">
        <f t="shared" si="163"/>
        <v>57587.573999999993</v>
      </c>
      <c r="BB47" s="3">
        <f t="shared" si="164"/>
        <v>88631.25</v>
      </c>
      <c r="BC47" s="41">
        <f t="shared" si="165"/>
        <v>32457.375</v>
      </c>
      <c r="BD47" s="41">
        <f t="shared" si="166"/>
        <v>58537.863999999987</v>
      </c>
      <c r="BE47" s="41">
        <f t="shared" si="167"/>
        <v>89853.75</v>
      </c>
      <c r="BF47" s="41">
        <f t="shared" si="168"/>
        <v>33068.624999999993</v>
      </c>
      <c r="BG47" s="42">
        <f t="shared" si="169"/>
        <v>59488.153999999988</v>
      </c>
      <c r="BH47" s="42">
        <f t="shared" si="170"/>
        <v>91076.249999999985</v>
      </c>
      <c r="BI47" s="42">
        <f t="shared" si="171"/>
        <v>33679.874999999993</v>
      </c>
      <c r="BJ47" s="42">
        <f t="shared" si="172"/>
        <v>60438.443999999981</v>
      </c>
      <c r="BK47" s="42">
        <f t="shared" si="173"/>
        <v>92298.749999999985</v>
      </c>
      <c r="BL47" s="42">
        <f t="shared" si="174"/>
        <v>34291.124999999985</v>
      </c>
      <c r="BM47" s="42">
        <f t="shared" si="175"/>
        <v>61388.733999999982</v>
      </c>
      <c r="BN47" s="42">
        <f t="shared" si="176"/>
        <v>93521.249999999971</v>
      </c>
      <c r="BO47" s="42">
        <f t="shared" si="177"/>
        <v>34902.374999999985</v>
      </c>
      <c r="BP47" s="42">
        <f t="shared" si="178"/>
        <v>62339.023999999976</v>
      </c>
      <c r="BQ47" s="42">
        <f t="shared" si="179"/>
        <v>94743.749999999971</v>
      </c>
      <c r="BR47" s="42">
        <f t="shared" si="180"/>
        <v>35513.624999999985</v>
      </c>
      <c r="BS47" s="42">
        <f t="shared" si="181"/>
        <v>63289.313999999969</v>
      </c>
      <c r="BT47" s="47">
        <f t="shared" si="182"/>
        <v>95966.249999999971</v>
      </c>
      <c r="BU47" s="51">
        <f t="shared" si="183"/>
        <v>7815</v>
      </c>
      <c r="BV47" s="3">
        <f t="shared" si="184"/>
        <v>9090</v>
      </c>
      <c r="BW47" s="3">
        <f t="shared" si="185"/>
        <v>10875</v>
      </c>
      <c r="BX47" s="51">
        <f t="shared" si="186"/>
        <v>7964.9999999999991</v>
      </c>
      <c r="BY47" s="3">
        <f t="shared" si="187"/>
        <v>9239.9999999999982</v>
      </c>
      <c r="BZ47" s="3">
        <f t="shared" si="188"/>
        <v>11025</v>
      </c>
      <c r="CA47" s="51">
        <f t="shared" si="189"/>
        <v>8114.9999999999991</v>
      </c>
      <c r="CB47" s="3">
        <f t="shared" si="190"/>
        <v>9389.9999999999982</v>
      </c>
      <c r="CC47" s="3">
        <f t="shared" si="191"/>
        <v>11174.999999999998</v>
      </c>
      <c r="CD47" s="51">
        <f t="shared" si="192"/>
        <v>8264.9999999999982</v>
      </c>
      <c r="CE47" s="3">
        <f t="shared" si="193"/>
        <v>9539.9999999999982</v>
      </c>
      <c r="CF47" s="3">
        <f t="shared" si="194"/>
        <v>11324.999999999998</v>
      </c>
      <c r="CG47" s="51">
        <f t="shared" si="195"/>
        <v>8414.9999999999982</v>
      </c>
      <c r="CH47" s="3">
        <f t="shared" si="196"/>
        <v>9689.9999999999982</v>
      </c>
      <c r="CI47" s="3">
        <f t="shared" si="197"/>
        <v>11474.999999999998</v>
      </c>
      <c r="CJ47" s="51">
        <f t="shared" si="198"/>
        <v>8564.9999999999982</v>
      </c>
      <c r="CK47" s="3">
        <f t="shared" si="199"/>
        <v>9839.9999999999964</v>
      </c>
      <c r="CL47" s="3">
        <f t="shared" si="200"/>
        <v>11624.999999999998</v>
      </c>
      <c r="CM47" s="51">
        <f t="shared" si="201"/>
        <v>8714.9999999999964</v>
      </c>
      <c r="CN47" s="3">
        <f t="shared" si="202"/>
        <v>9989.9999999999964</v>
      </c>
      <c r="CO47" s="3">
        <f t="shared" si="203"/>
        <v>11774.999999999996</v>
      </c>
      <c r="CP47" s="34">
        <v>2.62</v>
      </c>
      <c r="CQ47" s="60">
        <v>98170</v>
      </c>
      <c r="CR47" s="51">
        <f t="shared" si="204"/>
        <v>4134.9337500000001</v>
      </c>
      <c r="CS47" s="3">
        <f t="shared" si="205"/>
        <v>4945.4272199999996</v>
      </c>
      <c r="CT47" s="3">
        <f t="shared" si="206"/>
        <v>5930.2874999999995</v>
      </c>
      <c r="CU47" s="51">
        <f t="shared" si="207"/>
        <v>4157.7712499999998</v>
      </c>
      <c r="CV47" s="51">
        <f t="shared" si="208"/>
        <v>4978.4359199999999</v>
      </c>
      <c r="CW47" s="3">
        <f t="shared" si="209"/>
        <v>5971.4624999999996</v>
      </c>
      <c r="CX47" s="51">
        <f t="shared" si="210"/>
        <v>4180.6087499999994</v>
      </c>
      <c r="CY47" s="3">
        <f t="shared" si="211"/>
        <v>5011.4446199999993</v>
      </c>
      <c r="CZ47" s="3">
        <f t="shared" si="212"/>
        <v>6012.6374999999998</v>
      </c>
      <c r="DA47" s="51">
        <f t="shared" si="213"/>
        <v>4203.44625</v>
      </c>
      <c r="DB47" s="3">
        <f t="shared" si="214"/>
        <v>5044.4533199999987</v>
      </c>
      <c r="DC47" s="3">
        <f t="shared" si="215"/>
        <v>6053.8125</v>
      </c>
      <c r="DD47" s="51">
        <f t="shared" si="216"/>
        <v>4226.2837499999996</v>
      </c>
      <c r="DE47" s="3">
        <f t="shared" si="217"/>
        <v>5077.4620199999999</v>
      </c>
      <c r="DF47" s="3">
        <f t="shared" si="218"/>
        <v>6094.9874999999993</v>
      </c>
      <c r="DG47" s="51">
        <f t="shared" si="219"/>
        <v>4249.1212500000001</v>
      </c>
      <c r="DH47" s="3">
        <f t="shared" si="220"/>
        <v>5110.4707199999993</v>
      </c>
      <c r="DI47" s="3">
        <f t="shared" si="221"/>
        <v>6136.1624999999985</v>
      </c>
      <c r="DJ47" s="51">
        <f t="shared" si="222"/>
        <v>4271.9587499999998</v>
      </c>
      <c r="DK47" s="3">
        <f t="shared" si="223"/>
        <v>5143.4794199999988</v>
      </c>
      <c r="DL47" s="3">
        <f t="shared" si="224"/>
        <v>6177.3374999999987</v>
      </c>
      <c r="DM47" s="51">
        <f t="shared" si="225"/>
        <v>141966.05875</v>
      </c>
      <c r="DN47" s="3">
        <f t="shared" si="226"/>
        <v>169793.00122000001</v>
      </c>
      <c r="DO47" s="3">
        <f t="shared" si="227"/>
        <v>203606.53750000001</v>
      </c>
      <c r="DP47" s="51">
        <f t="shared" si="228"/>
        <v>142750.14624999999</v>
      </c>
      <c r="DQ47" s="51">
        <f t="shared" si="229"/>
        <v>170926.29991999999</v>
      </c>
      <c r="DR47" s="3">
        <f t="shared" si="230"/>
        <v>205020.21249999999</v>
      </c>
      <c r="DS47" s="51">
        <f t="shared" si="231"/>
        <v>143534.23375000001</v>
      </c>
      <c r="DT47" s="3">
        <f t="shared" si="232"/>
        <v>172059.59861999998</v>
      </c>
      <c r="DU47" s="3">
        <f t="shared" si="233"/>
        <v>206433.88750000001</v>
      </c>
      <c r="DV47" s="51">
        <f t="shared" si="234"/>
        <v>144318.32125000001</v>
      </c>
      <c r="DW47" s="3">
        <f t="shared" si="235"/>
        <v>173192.89731999996</v>
      </c>
      <c r="DX47" s="3">
        <f t="shared" si="236"/>
        <v>207847.5625</v>
      </c>
      <c r="DY47" s="51">
        <f t="shared" si="237"/>
        <v>145102.40875</v>
      </c>
      <c r="DZ47" s="3">
        <f t="shared" si="238"/>
        <v>174326.19602</v>
      </c>
      <c r="EA47" s="3">
        <f t="shared" si="239"/>
        <v>209261.23749999996</v>
      </c>
      <c r="EB47" s="51">
        <f t="shared" si="240"/>
        <v>145886.49625</v>
      </c>
      <c r="EC47" s="3">
        <f t="shared" si="241"/>
        <v>175459.49471999999</v>
      </c>
      <c r="ED47" s="3">
        <f t="shared" si="242"/>
        <v>210674.91249999998</v>
      </c>
      <c r="EE47" s="51">
        <f t="shared" si="243"/>
        <v>146670.58374999999</v>
      </c>
      <c r="EF47" s="3">
        <f t="shared" si="244"/>
        <v>176592.79341999994</v>
      </c>
      <c r="EG47" s="3">
        <f t="shared" si="245"/>
        <v>212088.58749999997</v>
      </c>
    </row>
    <row r="48" spans="1:137" s="74" customFormat="1" ht="18.75" x14ac:dyDescent="0.25">
      <c r="A48" s="66" t="s">
        <v>6</v>
      </c>
      <c r="B48" s="66" t="s">
        <v>188</v>
      </c>
      <c r="C48" s="66">
        <f>I1</f>
        <v>16300</v>
      </c>
      <c r="D48" s="66">
        <v>1.83</v>
      </c>
      <c r="E48" s="66">
        <v>2.11</v>
      </c>
      <c r="F48" s="66">
        <v>2.5</v>
      </c>
      <c r="G48" s="67">
        <v>1.72</v>
      </c>
      <c r="H48" s="67">
        <v>2</v>
      </c>
      <c r="I48" s="90">
        <v>2.39</v>
      </c>
      <c r="J48" s="99">
        <v>1.83</v>
      </c>
      <c r="K48" s="66">
        <v>2.11</v>
      </c>
      <c r="L48" s="100">
        <v>2.5</v>
      </c>
      <c r="M48" s="99">
        <f t="shared" si="126"/>
        <v>1.9300000000000002</v>
      </c>
      <c r="N48" s="66">
        <f t="shared" si="127"/>
        <v>2.21</v>
      </c>
      <c r="O48" s="100">
        <f t="shared" si="128"/>
        <v>2.6</v>
      </c>
      <c r="P48" s="99">
        <f t="shared" si="129"/>
        <v>2.0300000000000002</v>
      </c>
      <c r="Q48" s="66">
        <f t="shared" si="130"/>
        <v>2.31</v>
      </c>
      <c r="R48" s="100">
        <f t="shared" si="131"/>
        <v>2.7</v>
      </c>
      <c r="S48" s="99">
        <f t="shared" si="132"/>
        <v>2.1300000000000003</v>
      </c>
      <c r="T48" s="66">
        <f t="shared" si="133"/>
        <v>2.41</v>
      </c>
      <c r="U48" s="100">
        <f t="shared" si="134"/>
        <v>2.8000000000000003</v>
      </c>
      <c r="V48" s="99">
        <f t="shared" si="135"/>
        <v>2.2300000000000004</v>
      </c>
      <c r="W48" s="66">
        <f t="shared" si="136"/>
        <v>2.5100000000000002</v>
      </c>
      <c r="X48" s="100">
        <f t="shared" si="137"/>
        <v>2.9000000000000004</v>
      </c>
      <c r="Y48" s="99">
        <f t="shared" si="138"/>
        <v>2.3300000000000005</v>
      </c>
      <c r="Z48" s="66">
        <f t="shared" si="139"/>
        <v>2.6100000000000003</v>
      </c>
      <c r="AA48" s="100">
        <f t="shared" si="140"/>
        <v>3.0000000000000004</v>
      </c>
      <c r="AB48" s="99">
        <f t="shared" si="141"/>
        <v>2.4300000000000006</v>
      </c>
      <c r="AC48" s="66">
        <f t="shared" si="142"/>
        <v>2.7100000000000004</v>
      </c>
      <c r="AD48" s="100">
        <f t="shared" si="143"/>
        <v>3.1000000000000005</v>
      </c>
      <c r="AE48" s="68">
        <v>1.72</v>
      </c>
      <c r="AF48" s="67">
        <v>2</v>
      </c>
      <c r="AG48" s="67">
        <v>2.39</v>
      </c>
      <c r="AH48" s="69">
        <f t="shared" si="144"/>
        <v>1.82</v>
      </c>
      <c r="AI48" s="69">
        <f t="shared" si="145"/>
        <v>2.1</v>
      </c>
      <c r="AJ48" s="69">
        <f t="shared" si="146"/>
        <v>2.4900000000000002</v>
      </c>
      <c r="AK48" s="69">
        <f t="shared" si="147"/>
        <v>1.9200000000000002</v>
      </c>
      <c r="AL48" s="69">
        <f t="shared" si="148"/>
        <v>2.2000000000000002</v>
      </c>
      <c r="AM48" s="69">
        <f t="shared" si="149"/>
        <v>2.5900000000000003</v>
      </c>
      <c r="AN48" s="69">
        <f t="shared" si="150"/>
        <v>2.02</v>
      </c>
      <c r="AO48" s="69">
        <f t="shared" si="151"/>
        <v>2.3000000000000003</v>
      </c>
      <c r="AP48" s="69">
        <f t="shared" si="152"/>
        <v>2.6900000000000004</v>
      </c>
      <c r="AQ48" s="69">
        <f t="shared" si="153"/>
        <v>2.12</v>
      </c>
      <c r="AR48" s="69">
        <f t="shared" si="154"/>
        <v>2.4000000000000004</v>
      </c>
      <c r="AS48" s="69">
        <f t="shared" si="155"/>
        <v>2.7900000000000005</v>
      </c>
      <c r="AT48" s="69">
        <f t="shared" si="156"/>
        <v>2.2200000000000002</v>
      </c>
      <c r="AU48" s="69">
        <f t="shared" si="157"/>
        <v>2.5000000000000004</v>
      </c>
      <c r="AV48" s="69">
        <f t="shared" si="158"/>
        <v>2.8900000000000006</v>
      </c>
      <c r="AW48" s="69">
        <f t="shared" si="159"/>
        <v>2.3200000000000003</v>
      </c>
      <c r="AX48" s="69">
        <f t="shared" si="160"/>
        <v>2.6000000000000005</v>
      </c>
      <c r="AY48" s="70">
        <f t="shared" si="161"/>
        <v>2.9900000000000007</v>
      </c>
      <c r="AZ48" s="71">
        <f t="shared" si="162"/>
        <v>10513.5</v>
      </c>
      <c r="BA48" s="72">
        <f t="shared" si="163"/>
        <v>19005.8</v>
      </c>
      <c r="BB48" s="72">
        <f t="shared" si="164"/>
        <v>29217.75</v>
      </c>
      <c r="BC48" s="69">
        <f t="shared" si="165"/>
        <v>11124.75</v>
      </c>
      <c r="BD48" s="69">
        <f t="shared" si="166"/>
        <v>19956.09</v>
      </c>
      <c r="BE48" s="69">
        <f t="shared" si="167"/>
        <v>30440.25</v>
      </c>
      <c r="BF48" s="69">
        <f t="shared" si="168"/>
        <v>11736.000000000002</v>
      </c>
      <c r="BG48" s="69">
        <f t="shared" si="169"/>
        <v>20906.379999999997</v>
      </c>
      <c r="BH48" s="69">
        <f t="shared" si="170"/>
        <v>31662.750000000007</v>
      </c>
      <c r="BI48" s="69">
        <f t="shared" si="171"/>
        <v>12347.25</v>
      </c>
      <c r="BJ48" s="69">
        <f t="shared" si="172"/>
        <v>21856.670000000002</v>
      </c>
      <c r="BK48" s="69">
        <f t="shared" si="173"/>
        <v>32885.250000000007</v>
      </c>
      <c r="BL48" s="69">
        <f t="shared" si="174"/>
        <v>12958.5</v>
      </c>
      <c r="BM48" s="69">
        <f t="shared" si="175"/>
        <v>22806.960000000003</v>
      </c>
      <c r="BN48" s="69">
        <f t="shared" si="176"/>
        <v>34107.750000000007</v>
      </c>
      <c r="BO48" s="69">
        <f t="shared" si="177"/>
        <v>13569.75</v>
      </c>
      <c r="BP48" s="69">
        <f t="shared" si="178"/>
        <v>23757.250000000004</v>
      </c>
      <c r="BQ48" s="69">
        <f t="shared" si="179"/>
        <v>35330.250000000007</v>
      </c>
      <c r="BR48" s="69">
        <f t="shared" si="180"/>
        <v>14181.000000000004</v>
      </c>
      <c r="BS48" s="69">
        <f t="shared" si="181"/>
        <v>24707.54</v>
      </c>
      <c r="BT48" s="70">
        <f t="shared" si="182"/>
        <v>36552.750000000007</v>
      </c>
      <c r="BU48" s="71">
        <f t="shared" si="183"/>
        <v>2580</v>
      </c>
      <c r="BV48" s="72">
        <f t="shared" si="184"/>
        <v>3000</v>
      </c>
      <c r="BW48" s="72">
        <f t="shared" si="185"/>
        <v>3585</v>
      </c>
      <c r="BX48" s="71">
        <f t="shared" si="186"/>
        <v>2730</v>
      </c>
      <c r="BY48" s="72">
        <f t="shared" si="187"/>
        <v>3150</v>
      </c>
      <c r="BZ48" s="72">
        <f t="shared" si="188"/>
        <v>3735.0000000000005</v>
      </c>
      <c r="CA48" s="71">
        <f t="shared" si="189"/>
        <v>2880</v>
      </c>
      <c r="CB48" s="72">
        <f t="shared" si="190"/>
        <v>3300.0000000000005</v>
      </c>
      <c r="CC48" s="72">
        <f t="shared" si="191"/>
        <v>3885.0000000000005</v>
      </c>
      <c r="CD48" s="71">
        <f t="shared" si="192"/>
        <v>3030</v>
      </c>
      <c r="CE48" s="72">
        <f t="shared" si="193"/>
        <v>3450.0000000000005</v>
      </c>
      <c r="CF48" s="72">
        <f t="shared" si="194"/>
        <v>4035.0000000000005</v>
      </c>
      <c r="CG48" s="71">
        <f t="shared" si="195"/>
        <v>3180</v>
      </c>
      <c r="CH48" s="72">
        <f t="shared" si="196"/>
        <v>3600.0000000000005</v>
      </c>
      <c r="CI48" s="72">
        <f t="shared" si="197"/>
        <v>4185.0000000000009</v>
      </c>
      <c r="CJ48" s="71">
        <f t="shared" si="198"/>
        <v>3330.0000000000005</v>
      </c>
      <c r="CK48" s="72">
        <f t="shared" si="199"/>
        <v>3750.0000000000005</v>
      </c>
      <c r="CL48" s="72">
        <f t="shared" si="200"/>
        <v>4335.0000000000009</v>
      </c>
      <c r="CM48" s="71">
        <f t="shared" si="201"/>
        <v>3480.0000000000005</v>
      </c>
      <c r="CN48" s="72">
        <f t="shared" si="202"/>
        <v>3900.0000000000009</v>
      </c>
      <c r="CO48" s="72">
        <f t="shared" si="203"/>
        <v>4485.0000000000009</v>
      </c>
      <c r="CP48" s="75">
        <v>0.55000000000000004</v>
      </c>
      <c r="CQ48" s="73">
        <v>16950</v>
      </c>
      <c r="CR48" s="71">
        <f t="shared" si="204"/>
        <v>901.30499999999995</v>
      </c>
      <c r="CS48" s="72">
        <f t="shared" si="205"/>
        <v>1168.674</v>
      </c>
      <c r="CT48" s="72">
        <f t="shared" si="206"/>
        <v>1492.5825</v>
      </c>
      <c r="CU48" s="71">
        <f t="shared" si="207"/>
        <v>924.14249999999993</v>
      </c>
      <c r="CV48" s="71">
        <f t="shared" si="208"/>
        <v>1201.6826999999998</v>
      </c>
      <c r="CW48" s="72">
        <f t="shared" si="209"/>
        <v>1533.7574999999999</v>
      </c>
      <c r="CX48" s="71">
        <f t="shared" si="210"/>
        <v>946.98</v>
      </c>
      <c r="CY48" s="72">
        <f t="shared" si="211"/>
        <v>1234.6913999999999</v>
      </c>
      <c r="CZ48" s="72">
        <f t="shared" si="212"/>
        <v>1574.9325000000001</v>
      </c>
      <c r="DA48" s="71">
        <f t="shared" si="213"/>
        <v>969.8175</v>
      </c>
      <c r="DB48" s="72">
        <f t="shared" si="214"/>
        <v>1267.7000999999998</v>
      </c>
      <c r="DC48" s="72">
        <f t="shared" si="215"/>
        <v>1616.1075000000001</v>
      </c>
      <c r="DD48" s="71">
        <f t="shared" si="216"/>
        <v>992.65499999999997</v>
      </c>
      <c r="DE48" s="72">
        <f t="shared" si="217"/>
        <v>1300.7088000000001</v>
      </c>
      <c r="DF48" s="72">
        <f t="shared" si="218"/>
        <v>1657.2825000000003</v>
      </c>
      <c r="DG48" s="71">
        <f t="shared" si="219"/>
        <v>1015.4924999999999</v>
      </c>
      <c r="DH48" s="72">
        <f t="shared" si="220"/>
        <v>1333.7175</v>
      </c>
      <c r="DI48" s="72">
        <f t="shared" si="221"/>
        <v>1698.4575000000002</v>
      </c>
      <c r="DJ48" s="71">
        <f t="shared" si="222"/>
        <v>1038.33</v>
      </c>
      <c r="DK48" s="72">
        <f t="shared" si="223"/>
        <v>1366.7262000000001</v>
      </c>
      <c r="DL48" s="72">
        <f t="shared" si="224"/>
        <v>1739.6325000000002</v>
      </c>
      <c r="DM48" s="71">
        <f t="shared" si="225"/>
        <v>30944.805</v>
      </c>
      <c r="DN48" s="72">
        <f t="shared" si="226"/>
        <v>40124.474000000002</v>
      </c>
      <c r="DO48" s="72">
        <f t="shared" si="227"/>
        <v>51245.332499999997</v>
      </c>
      <c r="DP48" s="71">
        <f t="shared" si="228"/>
        <v>31728.892500000002</v>
      </c>
      <c r="DQ48" s="71">
        <f t="shared" si="229"/>
        <v>41257.772699999994</v>
      </c>
      <c r="DR48" s="72">
        <f t="shared" si="230"/>
        <v>52659.0075</v>
      </c>
      <c r="DS48" s="71">
        <f t="shared" si="231"/>
        <v>32512.98</v>
      </c>
      <c r="DT48" s="72">
        <f t="shared" si="232"/>
        <v>42391.071400000001</v>
      </c>
      <c r="DU48" s="72">
        <f t="shared" si="233"/>
        <v>54072.68250000001</v>
      </c>
      <c r="DV48" s="71">
        <f t="shared" si="234"/>
        <v>33297.067499999997</v>
      </c>
      <c r="DW48" s="72">
        <f t="shared" si="235"/>
        <v>43524.3701</v>
      </c>
      <c r="DX48" s="72">
        <f t="shared" si="236"/>
        <v>55486.357500000006</v>
      </c>
      <c r="DY48" s="71">
        <f t="shared" si="237"/>
        <v>34081.154999999999</v>
      </c>
      <c r="DZ48" s="72">
        <f t="shared" si="238"/>
        <v>44657.668800000007</v>
      </c>
      <c r="EA48" s="72">
        <f t="shared" si="239"/>
        <v>56900.032500000008</v>
      </c>
      <c r="EB48" s="71">
        <f t="shared" si="240"/>
        <v>34865.2425</v>
      </c>
      <c r="EC48" s="72">
        <f t="shared" si="241"/>
        <v>45790.967499999999</v>
      </c>
      <c r="ED48" s="72">
        <f t="shared" si="242"/>
        <v>58313.707500000004</v>
      </c>
      <c r="EE48" s="71">
        <f t="shared" si="243"/>
        <v>35649.33</v>
      </c>
      <c r="EF48" s="72">
        <f t="shared" si="244"/>
        <v>46924.266199999998</v>
      </c>
      <c r="EG48" s="72">
        <f t="shared" si="245"/>
        <v>59727.382500000007</v>
      </c>
    </row>
    <row r="49" spans="1:137" s="88" customFormat="1" ht="18.75" x14ac:dyDescent="0.25">
      <c r="A49" s="81" t="s">
        <v>6</v>
      </c>
      <c r="B49" s="81" t="s">
        <v>191</v>
      </c>
      <c r="C49" s="81">
        <f>I1</f>
        <v>16300</v>
      </c>
      <c r="D49" s="81">
        <v>4.0839999999999996</v>
      </c>
      <c r="E49" s="81">
        <v>4.7039999999999997</v>
      </c>
      <c r="F49" s="81">
        <v>5.5739999999999998</v>
      </c>
      <c r="G49" s="82">
        <v>3.81</v>
      </c>
      <c r="H49" s="82">
        <v>4.43</v>
      </c>
      <c r="I49" s="91">
        <v>5.3</v>
      </c>
      <c r="J49" s="101">
        <v>4.0839999999999996</v>
      </c>
      <c r="K49" s="81">
        <v>4.7039999999999997</v>
      </c>
      <c r="L49" s="102">
        <v>5.5739999999999998</v>
      </c>
      <c r="M49" s="101">
        <f t="shared" si="126"/>
        <v>4.1839999999999993</v>
      </c>
      <c r="N49" s="81">
        <f t="shared" si="127"/>
        <v>4.8039999999999994</v>
      </c>
      <c r="O49" s="102">
        <f t="shared" si="128"/>
        <v>5.6739999999999995</v>
      </c>
      <c r="P49" s="101">
        <f t="shared" si="129"/>
        <v>4.2839999999999989</v>
      </c>
      <c r="Q49" s="81">
        <f t="shared" si="130"/>
        <v>4.903999999999999</v>
      </c>
      <c r="R49" s="102">
        <f t="shared" si="131"/>
        <v>5.7739999999999991</v>
      </c>
      <c r="S49" s="101">
        <f t="shared" si="132"/>
        <v>4.3839999999999986</v>
      </c>
      <c r="T49" s="81">
        <f t="shared" si="133"/>
        <v>5.0039999999999987</v>
      </c>
      <c r="U49" s="102">
        <f t="shared" si="134"/>
        <v>5.8739999999999988</v>
      </c>
      <c r="V49" s="101">
        <f t="shared" si="135"/>
        <v>4.4839999999999982</v>
      </c>
      <c r="W49" s="81">
        <f t="shared" si="136"/>
        <v>5.1039999999999983</v>
      </c>
      <c r="X49" s="102">
        <f t="shared" si="137"/>
        <v>5.9739999999999984</v>
      </c>
      <c r="Y49" s="101">
        <f t="shared" si="138"/>
        <v>4.5839999999999979</v>
      </c>
      <c r="Z49" s="81">
        <f t="shared" si="139"/>
        <v>5.203999999999998</v>
      </c>
      <c r="AA49" s="102">
        <f t="shared" si="140"/>
        <v>6.0739999999999981</v>
      </c>
      <c r="AB49" s="101">
        <f t="shared" si="141"/>
        <v>4.6839999999999975</v>
      </c>
      <c r="AC49" s="81">
        <f t="shared" si="142"/>
        <v>5.3039999999999976</v>
      </c>
      <c r="AD49" s="102">
        <f t="shared" si="143"/>
        <v>6.1739999999999977</v>
      </c>
      <c r="AE49" s="83">
        <v>3.81</v>
      </c>
      <c r="AF49" s="82">
        <v>4.43</v>
      </c>
      <c r="AG49" s="82">
        <v>5.3</v>
      </c>
      <c r="AH49" s="42">
        <f t="shared" si="144"/>
        <v>3.91</v>
      </c>
      <c r="AI49" s="42">
        <f t="shared" si="145"/>
        <v>4.5299999999999994</v>
      </c>
      <c r="AJ49" s="42">
        <f t="shared" si="146"/>
        <v>5.3999999999999995</v>
      </c>
      <c r="AK49" s="42">
        <f t="shared" si="147"/>
        <v>4.01</v>
      </c>
      <c r="AL49" s="42">
        <f t="shared" si="148"/>
        <v>4.629999999999999</v>
      </c>
      <c r="AM49" s="42">
        <f t="shared" si="149"/>
        <v>5.4999999999999991</v>
      </c>
      <c r="AN49" s="42">
        <f t="shared" si="150"/>
        <v>4.1099999999999994</v>
      </c>
      <c r="AO49" s="42">
        <f t="shared" si="151"/>
        <v>4.7299999999999986</v>
      </c>
      <c r="AP49" s="42">
        <f t="shared" si="152"/>
        <v>5.5999999999999988</v>
      </c>
      <c r="AQ49" s="42">
        <f t="shared" si="153"/>
        <v>4.2099999999999991</v>
      </c>
      <c r="AR49" s="42">
        <f t="shared" si="154"/>
        <v>4.8299999999999983</v>
      </c>
      <c r="AS49" s="42">
        <f t="shared" si="155"/>
        <v>5.6999999999999984</v>
      </c>
      <c r="AT49" s="42">
        <f t="shared" si="156"/>
        <v>4.3099999999999987</v>
      </c>
      <c r="AU49" s="42">
        <f t="shared" si="157"/>
        <v>4.9299999999999979</v>
      </c>
      <c r="AV49" s="42">
        <f t="shared" si="158"/>
        <v>5.799999999999998</v>
      </c>
      <c r="AW49" s="42">
        <f t="shared" si="159"/>
        <v>4.4099999999999984</v>
      </c>
      <c r="AX49" s="42">
        <f t="shared" si="160"/>
        <v>5.0299999999999976</v>
      </c>
      <c r="AY49" s="47">
        <f t="shared" si="161"/>
        <v>5.8999999999999977</v>
      </c>
      <c r="AZ49" s="84">
        <f t="shared" si="162"/>
        <v>23288.625</v>
      </c>
      <c r="BA49" s="85">
        <f t="shared" si="163"/>
        <v>42097.846999999994</v>
      </c>
      <c r="BB49" s="85">
        <f t="shared" si="164"/>
        <v>64792.5</v>
      </c>
      <c r="BC49" s="42">
        <f t="shared" si="165"/>
        <v>23899.875</v>
      </c>
      <c r="BD49" s="42">
        <f t="shared" si="166"/>
        <v>43048.136999999988</v>
      </c>
      <c r="BE49" s="42">
        <f t="shared" si="167"/>
        <v>66014.999999999985</v>
      </c>
      <c r="BF49" s="42">
        <f t="shared" si="168"/>
        <v>24511.125</v>
      </c>
      <c r="BG49" s="42">
        <f t="shared" si="169"/>
        <v>43998.426999999989</v>
      </c>
      <c r="BH49" s="42">
        <f t="shared" si="170"/>
        <v>67237.499999999985</v>
      </c>
      <c r="BI49" s="42">
        <f t="shared" si="171"/>
        <v>25122.374999999993</v>
      </c>
      <c r="BJ49" s="42">
        <f t="shared" si="172"/>
        <v>44948.716999999982</v>
      </c>
      <c r="BK49" s="42">
        <f t="shared" si="173"/>
        <v>68459.999999999985</v>
      </c>
      <c r="BL49" s="42">
        <f t="shared" si="174"/>
        <v>25733.624999999993</v>
      </c>
      <c r="BM49" s="42">
        <f t="shared" si="175"/>
        <v>45899.006999999983</v>
      </c>
      <c r="BN49" s="42">
        <f t="shared" si="176"/>
        <v>69682.499999999971</v>
      </c>
      <c r="BO49" s="42">
        <f t="shared" si="177"/>
        <v>26344.874999999993</v>
      </c>
      <c r="BP49" s="42">
        <f t="shared" si="178"/>
        <v>46849.296999999977</v>
      </c>
      <c r="BQ49" s="42">
        <f t="shared" si="179"/>
        <v>70904.999999999971</v>
      </c>
      <c r="BR49" s="42">
        <f t="shared" si="180"/>
        <v>26956.124999999989</v>
      </c>
      <c r="BS49" s="42">
        <f t="shared" si="181"/>
        <v>47799.58699999997</v>
      </c>
      <c r="BT49" s="47">
        <f t="shared" si="182"/>
        <v>72127.499999999971</v>
      </c>
      <c r="BU49" s="84">
        <f t="shared" si="183"/>
        <v>5715</v>
      </c>
      <c r="BV49" s="85">
        <f t="shared" si="184"/>
        <v>6645</v>
      </c>
      <c r="BW49" s="85">
        <f t="shared" si="185"/>
        <v>7950</v>
      </c>
      <c r="BX49" s="84">
        <f t="shared" si="186"/>
        <v>5865</v>
      </c>
      <c r="BY49" s="85">
        <f t="shared" si="187"/>
        <v>6794.9999999999991</v>
      </c>
      <c r="BZ49" s="85">
        <f t="shared" si="188"/>
        <v>8099.9999999999991</v>
      </c>
      <c r="CA49" s="84">
        <f t="shared" si="189"/>
        <v>6015</v>
      </c>
      <c r="CB49" s="85">
        <f t="shared" si="190"/>
        <v>6944.9999999999982</v>
      </c>
      <c r="CC49" s="85">
        <f t="shared" si="191"/>
        <v>8249.9999999999982</v>
      </c>
      <c r="CD49" s="84">
        <f t="shared" si="192"/>
        <v>6164.9999999999991</v>
      </c>
      <c r="CE49" s="85">
        <f t="shared" si="193"/>
        <v>7094.9999999999982</v>
      </c>
      <c r="CF49" s="85">
        <f t="shared" si="194"/>
        <v>8399.9999999999982</v>
      </c>
      <c r="CG49" s="84">
        <f t="shared" si="195"/>
        <v>6314.9999999999982</v>
      </c>
      <c r="CH49" s="85">
        <f t="shared" si="196"/>
        <v>7244.9999999999973</v>
      </c>
      <c r="CI49" s="85">
        <f t="shared" si="197"/>
        <v>8549.9999999999982</v>
      </c>
      <c r="CJ49" s="84">
        <f t="shared" si="198"/>
        <v>6464.9999999999982</v>
      </c>
      <c r="CK49" s="85">
        <f t="shared" si="199"/>
        <v>7394.9999999999973</v>
      </c>
      <c r="CL49" s="85">
        <f t="shared" si="200"/>
        <v>8699.9999999999964</v>
      </c>
      <c r="CM49" s="84">
        <f t="shared" si="201"/>
        <v>6614.9999999999973</v>
      </c>
      <c r="CN49" s="85">
        <f t="shared" si="202"/>
        <v>7544.9999999999964</v>
      </c>
      <c r="CO49" s="85">
        <f t="shared" si="203"/>
        <v>8849.9999999999964</v>
      </c>
      <c r="CP49" s="86">
        <v>1.37</v>
      </c>
      <c r="CQ49" s="87">
        <v>50770</v>
      </c>
      <c r="CR49" s="84">
        <f t="shared" si="204"/>
        <v>2393.2087499999998</v>
      </c>
      <c r="CS49" s="85">
        <f t="shared" si="205"/>
        <v>2985.3854099999999</v>
      </c>
      <c r="CT49" s="85">
        <f t="shared" si="206"/>
        <v>3705.375</v>
      </c>
      <c r="CU49" s="84">
        <f t="shared" si="207"/>
        <v>2416.0462499999999</v>
      </c>
      <c r="CV49" s="84">
        <f t="shared" si="208"/>
        <v>3018.3941099999997</v>
      </c>
      <c r="CW49" s="85">
        <f t="shared" si="209"/>
        <v>3746.5499999999993</v>
      </c>
      <c r="CX49" s="84">
        <f t="shared" si="210"/>
        <v>2438.88375</v>
      </c>
      <c r="CY49" s="85">
        <f t="shared" si="211"/>
        <v>3051.4028099999996</v>
      </c>
      <c r="CZ49" s="85">
        <f t="shared" si="212"/>
        <v>3787.7249999999995</v>
      </c>
      <c r="DA49" s="84">
        <f t="shared" si="213"/>
        <v>2461.7212500000001</v>
      </c>
      <c r="DB49" s="85">
        <f t="shared" si="214"/>
        <v>3084.411509999999</v>
      </c>
      <c r="DC49" s="85">
        <f t="shared" si="215"/>
        <v>3828.8999999999996</v>
      </c>
      <c r="DD49" s="84">
        <f t="shared" si="216"/>
        <v>2484.5587499999997</v>
      </c>
      <c r="DE49" s="85">
        <f t="shared" si="217"/>
        <v>3117.4202099999993</v>
      </c>
      <c r="DF49" s="85">
        <f t="shared" si="218"/>
        <v>3870.0749999999989</v>
      </c>
      <c r="DG49" s="84">
        <f t="shared" si="219"/>
        <v>2507.3962499999998</v>
      </c>
      <c r="DH49" s="85">
        <f t="shared" si="220"/>
        <v>3150.4289099999992</v>
      </c>
      <c r="DI49" s="85">
        <f t="shared" si="221"/>
        <v>3911.2499999999991</v>
      </c>
      <c r="DJ49" s="84">
        <f t="shared" si="222"/>
        <v>2530.2337499999994</v>
      </c>
      <c r="DK49" s="85">
        <f t="shared" si="223"/>
        <v>3183.437609999999</v>
      </c>
      <c r="DL49" s="85">
        <f t="shared" si="224"/>
        <v>3952.4249999999988</v>
      </c>
      <c r="DM49" s="84">
        <f t="shared" si="225"/>
        <v>82166.833750000005</v>
      </c>
      <c r="DN49" s="85">
        <f t="shared" si="226"/>
        <v>102498.23241</v>
      </c>
      <c r="DO49" s="85">
        <f t="shared" si="227"/>
        <v>127217.875</v>
      </c>
      <c r="DP49" s="84">
        <f t="shared" si="228"/>
        <v>82950.921249999999</v>
      </c>
      <c r="DQ49" s="84">
        <f t="shared" si="229"/>
        <v>103631.53110999998</v>
      </c>
      <c r="DR49" s="85">
        <f t="shared" si="230"/>
        <v>128631.54999999999</v>
      </c>
      <c r="DS49" s="84">
        <f t="shared" si="231"/>
        <v>83735.008749999994</v>
      </c>
      <c r="DT49" s="85">
        <f t="shared" si="232"/>
        <v>104764.82981</v>
      </c>
      <c r="DU49" s="85">
        <f t="shared" si="233"/>
        <v>130045.22499999999</v>
      </c>
      <c r="DV49" s="84">
        <f t="shared" si="234"/>
        <v>84519.096250000002</v>
      </c>
      <c r="DW49" s="85">
        <f t="shared" si="235"/>
        <v>105898.12850999998</v>
      </c>
      <c r="DX49" s="85">
        <f t="shared" si="236"/>
        <v>131458.9</v>
      </c>
      <c r="DY49" s="84">
        <f t="shared" si="237"/>
        <v>85303.183749999997</v>
      </c>
      <c r="DZ49" s="85">
        <f t="shared" si="238"/>
        <v>107031.42720999998</v>
      </c>
      <c r="EA49" s="85">
        <f t="shared" si="239"/>
        <v>132872.57499999998</v>
      </c>
      <c r="EB49" s="84">
        <f t="shared" si="240"/>
        <v>86087.271250000005</v>
      </c>
      <c r="EC49" s="85">
        <f t="shared" si="241"/>
        <v>108164.72590999998</v>
      </c>
      <c r="ED49" s="85">
        <f t="shared" si="242"/>
        <v>134286.24999999997</v>
      </c>
      <c r="EE49" s="84">
        <f t="shared" si="243"/>
        <v>86871.358749999985</v>
      </c>
      <c r="EF49" s="85">
        <f t="shared" si="244"/>
        <v>109298.02460999996</v>
      </c>
      <c r="EG49" s="85">
        <f t="shared" si="245"/>
        <v>135699.92499999996</v>
      </c>
    </row>
    <row r="50" spans="1:137" ht="18.75" x14ac:dyDescent="0.25">
      <c r="A50" s="2" t="s">
        <v>6</v>
      </c>
      <c r="B50" s="2" t="s">
        <v>194</v>
      </c>
      <c r="C50" s="2">
        <f>I1</f>
        <v>16300</v>
      </c>
      <c r="D50" s="2">
        <v>1.417</v>
      </c>
      <c r="E50" s="2">
        <v>1.627</v>
      </c>
      <c r="F50" s="2">
        <v>1.917</v>
      </c>
      <c r="G50" s="4">
        <v>1.28</v>
      </c>
      <c r="H50" s="4">
        <v>1.49</v>
      </c>
      <c r="I50" s="89">
        <v>1.78</v>
      </c>
      <c r="J50" s="97">
        <v>1.417</v>
      </c>
      <c r="K50" s="2">
        <v>1.627</v>
      </c>
      <c r="L50" s="98">
        <v>1.917</v>
      </c>
      <c r="M50" s="97">
        <f t="shared" si="126"/>
        <v>1.5170000000000001</v>
      </c>
      <c r="N50" s="2">
        <f t="shared" si="127"/>
        <v>1.7270000000000001</v>
      </c>
      <c r="O50" s="98">
        <f t="shared" si="128"/>
        <v>2.0169999999999999</v>
      </c>
      <c r="P50" s="97">
        <f t="shared" si="129"/>
        <v>1.6170000000000002</v>
      </c>
      <c r="Q50" s="2">
        <f t="shared" si="130"/>
        <v>1.8270000000000002</v>
      </c>
      <c r="R50" s="98">
        <f t="shared" si="131"/>
        <v>2.117</v>
      </c>
      <c r="S50" s="97">
        <f t="shared" si="132"/>
        <v>1.7170000000000003</v>
      </c>
      <c r="T50" s="2">
        <f t="shared" si="133"/>
        <v>1.9270000000000003</v>
      </c>
      <c r="U50" s="98">
        <f t="shared" si="134"/>
        <v>2.2170000000000001</v>
      </c>
      <c r="V50" s="97">
        <f t="shared" si="135"/>
        <v>1.8170000000000004</v>
      </c>
      <c r="W50" s="2">
        <f t="shared" si="136"/>
        <v>2.0270000000000001</v>
      </c>
      <c r="X50" s="98">
        <f t="shared" si="137"/>
        <v>2.3170000000000002</v>
      </c>
      <c r="Y50" s="97">
        <f t="shared" si="138"/>
        <v>1.9170000000000005</v>
      </c>
      <c r="Z50" s="2">
        <f t="shared" si="139"/>
        <v>2.1270000000000002</v>
      </c>
      <c r="AA50" s="98">
        <f t="shared" si="140"/>
        <v>2.4170000000000003</v>
      </c>
      <c r="AB50" s="97">
        <f t="shared" si="141"/>
        <v>2.0170000000000003</v>
      </c>
      <c r="AC50" s="2">
        <f t="shared" si="142"/>
        <v>2.2270000000000003</v>
      </c>
      <c r="AD50" s="106">
        <f t="shared" si="143"/>
        <v>2.5170000000000003</v>
      </c>
      <c r="AE50" s="107">
        <v>1.28</v>
      </c>
      <c r="AF50" s="4">
        <v>1.49</v>
      </c>
      <c r="AG50" s="4">
        <v>1.78</v>
      </c>
      <c r="AH50" s="41">
        <f t="shared" si="144"/>
        <v>1.3800000000000001</v>
      </c>
      <c r="AI50" s="41">
        <f t="shared" si="145"/>
        <v>1.59</v>
      </c>
      <c r="AJ50" s="41">
        <f t="shared" si="146"/>
        <v>1.8800000000000001</v>
      </c>
      <c r="AK50" s="41">
        <f t="shared" si="147"/>
        <v>1.4800000000000002</v>
      </c>
      <c r="AL50" s="42">
        <f t="shared" si="148"/>
        <v>1.6900000000000002</v>
      </c>
      <c r="AM50" s="42">
        <f t="shared" si="149"/>
        <v>1.9800000000000002</v>
      </c>
      <c r="AN50" s="42">
        <f t="shared" si="150"/>
        <v>1.5800000000000003</v>
      </c>
      <c r="AO50" s="42">
        <f t="shared" si="151"/>
        <v>1.7900000000000003</v>
      </c>
      <c r="AP50" s="42">
        <f t="shared" si="152"/>
        <v>2.08</v>
      </c>
      <c r="AQ50" s="42">
        <f t="shared" si="153"/>
        <v>1.6800000000000004</v>
      </c>
      <c r="AR50" s="42">
        <f t="shared" si="154"/>
        <v>1.8900000000000003</v>
      </c>
      <c r="AS50" s="42">
        <f t="shared" si="155"/>
        <v>2.1800000000000002</v>
      </c>
      <c r="AT50" s="42">
        <f t="shared" si="156"/>
        <v>1.7800000000000005</v>
      </c>
      <c r="AU50" s="42">
        <f t="shared" si="157"/>
        <v>1.9900000000000004</v>
      </c>
      <c r="AV50" s="42">
        <f t="shared" si="158"/>
        <v>2.2800000000000002</v>
      </c>
      <c r="AW50" s="42">
        <f t="shared" si="159"/>
        <v>1.8800000000000006</v>
      </c>
      <c r="AX50" s="42">
        <f t="shared" si="160"/>
        <v>2.0900000000000003</v>
      </c>
      <c r="AY50" s="47">
        <f t="shared" si="161"/>
        <v>2.3800000000000003</v>
      </c>
      <c r="AZ50" s="51">
        <f t="shared" si="162"/>
        <v>7824</v>
      </c>
      <c r="BA50" s="3">
        <f t="shared" si="163"/>
        <v>14159.321</v>
      </c>
      <c r="BB50" s="3">
        <f t="shared" si="164"/>
        <v>21760.5</v>
      </c>
      <c r="BC50" s="57">
        <f t="shared" si="165"/>
        <v>8435.2500000000018</v>
      </c>
      <c r="BD50" s="41">
        <f t="shared" si="166"/>
        <v>15109.610999999999</v>
      </c>
      <c r="BE50" s="41">
        <f t="shared" si="167"/>
        <v>22983.000000000004</v>
      </c>
      <c r="BF50" s="57">
        <f t="shared" si="168"/>
        <v>9046.5000000000018</v>
      </c>
      <c r="BG50" s="42">
        <f t="shared" si="169"/>
        <v>16059.901000000002</v>
      </c>
      <c r="BH50" s="42">
        <f t="shared" si="170"/>
        <v>24205.500000000004</v>
      </c>
      <c r="BI50" s="58">
        <f t="shared" si="171"/>
        <v>9657.7500000000018</v>
      </c>
      <c r="BJ50" s="42">
        <f t="shared" si="172"/>
        <v>17010.191000000003</v>
      </c>
      <c r="BK50" s="42">
        <f t="shared" si="173"/>
        <v>25428</v>
      </c>
      <c r="BL50" s="42">
        <f t="shared" si="174"/>
        <v>10269.000000000004</v>
      </c>
      <c r="BM50" s="42">
        <f t="shared" si="175"/>
        <v>17960.481000000003</v>
      </c>
      <c r="BN50" s="42">
        <f t="shared" si="176"/>
        <v>26650.5</v>
      </c>
      <c r="BO50" s="42">
        <f t="shared" si="177"/>
        <v>10880.250000000004</v>
      </c>
      <c r="BP50" s="42">
        <f t="shared" si="178"/>
        <v>18910.771000000004</v>
      </c>
      <c r="BQ50" s="42">
        <f t="shared" si="179"/>
        <v>27873.000000000007</v>
      </c>
      <c r="BR50" s="42">
        <f t="shared" si="180"/>
        <v>11491.500000000004</v>
      </c>
      <c r="BS50" s="42">
        <f t="shared" si="181"/>
        <v>19861.061000000002</v>
      </c>
      <c r="BT50" s="47">
        <f t="shared" si="182"/>
        <v>29095.500000000007</v>
      </c>
      <c r="BU50" s="51">
        <f t="shared" si="183"/>
        <v>1920</v>
      </c>
      <c r="BV50" s="3">
        <f t="shared" si="184"/>
        <v>2235</v>
      </c>
      <c r="BW50" s="3">
        <f t="shared" si="185"/>
        <v>2670</v>
      </c>
      <c r="BX50" s="51">
        <f t="shared" si="186"/>
        <v>2070</v>
      </c>
      <c r="BY50" s="3">
        <f t="shared" si="187"/>
        <v>2385</v>
      </c>
      <c r="BZ50" s="3">
        <f t="shared" si="188"/>
        <v>2820</v>
      </c>
      <c r="CA50" s="51">
        <f t="shared" si="189"/>
        <v>2220.0000000000005</v>
      </c>
      <c r="CB50" s="3">
        <f t="shared" si="190"/>
        <v>2535.0000000000005</v>
      </c>
      <c r="CC50" s="3">
        <f t="shared" si="191"/>
        <v>2970.0000000000005</v>
      </c>
      <c r="CD50" s="51">
        <f t="shared" si="192"/>
        <v>2370.0000000000005</v>
      </c>
      <c r="CE50" s="3">
        <f t="shared" si="193"/>
        <v>2685.0000000000005</v>
      </c>
      <c r="CF50" s="3">
        <f t="shared" si="194"/>
        <v>3120</v>
      </c>
      <c r="CG50" s="51">
        <f t="shared" si="195"/>
        <v>2520.0000000000005</v>
      </c>
      <c r="CH50" s="3">
        <f t="shared" si="196"/>
        <v>2835.0000000000005</v>
      </c>
      <c r="CI50" s="3">
        <f t="shared" si="197"/>
        <v>3270.0000000000005</v>
      </c>
      <c r="CJ50" s="51">
        <f t="shared" si="198"/>
        <v>2670.0000000000009</v>
      </c>
      <c r="CK50" s="3">
        <f t="shared" si="199"/>
        <v>2985.0000000000005</v>
      </c>
      <c r="CL50" s="3">
        <f t="shared" si="200"/>
        <v>3420.0000000000005</v>
      </c>
      <c r="CM50" s="51">
        <f t="shared" si="201"/>
        <v>2820.0000000000009</v>
      </c>
      <c r="CN50" s="3">
        <f t="shared" si="202"/>
        <v>3135.0000000000005</v>
      </c>
      <c r="CO50" s="3">
        <f t="shared" si="203"/>
        <v>3570.0000000000005</v>
      </c>
      <c r="CP50" s="34">
        <v>0.52</v>
      </c>
      <c r="CQ50" s="60">
        <v>16200</v>
      </c>
      <c r="CR50" s="51">
        <f t="shared" si="204"/>
        <v>778.31999999999994</v>
      </c>
      <c r="CS50" s="3">
        <f t="shared" si="205"/>
        <v>977.82962999999995</v>
      </c>
      <c r="CT50" s="3">
        <f t="shared" si="206"/>
        <v>1218.915</v>
      </c>
      <c r="CU50" s="51">
        <f t="shared" si="207"/>
        <v>801.15749999999991</v>
      </c>
      <c r="CV50" s="51">
        <f t="shared" si="208"/>
        <v>1010.8383299999999</v>
      </c>
      <c r="CW50" s="3">
        <f t="shared" si="209"/>
        <v>1260.0899999999999</v>
      </c>
      <c r="CX50" s="51">
        <f t="shared" si="210"/>
        <v>823.995</v>
      </c>
      <c r="CY50" s="3">
        <f t="shared" si="211"/>
        <v>1043.8470299999999</v>
      </c>
      <c r="CZ50" s="3">
        <f t="shared" si="212"/>
        <v>1301.2649999999999</v>
      </c>
      <c r="DA50" s="51">
        <f t="shared" si="213"/>
        <v>846.83249999999998</v>
      </c>
      <c r="DB50" s="3">
        <f t="shared" si="214"/>
        <v>1076.8557300000002</v>
      </c>
      <c r="DC50" s="3">
        <f t="shared" si="215"/>
        <v>1342.44</v>
      </c>
      <c r="DD50" s="51">
        <f t="shared" si="216"/>
        <v>869.67000000000007</v>
      </c>
      <c r="DE50" s="3">
        <f t="shared" si="217"/>
        <v>1109.8644299999999</v>
      </c>
      <c r="DF50" s="3">
        <f t="shared" si="218"/>
        <v>1383.615</v>
      </c>
      <c r="DG50" s="51">
        <f t="shared" si="219"/>
        <v>892.50750000000005</v>
      </c>
      <c r="DH50" s="3">
        <f t="shared" si="220"/>
        <v>1142.8731300000002</v>
      </c>
      <c r="DI50" s="3">
        <f t="shared" si="221"/>
        <v>1424.7900000000002</v>
      </c>
      <c r="DJ50" s="51">
        <f t="shared" si="222"/>
        <v>915.34500000000003</v>
      </c>
      <c r="DK50" s="3">
        <f t="shared" si="223"/>
        <v>1175.88183</v>
      </c>
      <c r="DL50" s="3">
        <f t="shared" si="224"/>
        <v>1465.9650000000001</v>
      </c>
      <c r="DM50" s="51">
        <f t="shared" si="225"/>
        <v>26722.32</v>
      </c>
      <c r="DN50" s="3">
        <f t="shared" si="226"/>
        <v>33572.150629999996</v>
      </c>
      <c r="DO50" s="3">
        <f t="shared" si="227"/>
        <v>41849.415000000001</v>
      </c>
      <c r="DP50" s="51">
        <f t="shared" si="228"/>
        <v>27506.407500000001</v>
      </c>
      <c r="DQ50" s="51">
        <f t="shared" si="229"/>
        <v>34705.449329999996</v>
      </c>
      <c r="DR50" s="3">
        <f t="shared" si="230"/>
        <v>43263.09</v>
      </c>
      <c r="DS50" s="51">
        <f t="shared" si="231"/>
        <v>28290.494999999999</v>
      </c>
      <c r="DT50" s="3">
        <f t="shared" si="232"/>
        <v>35838.748029999995</v>
      </c>
      <c r="DU50" s="3">
        <f t="shared" si="233"/>
        <v>44676.764999999999</v>
      </c>
      <c r="DV50" s="51">
        <f t="shared" si="234"/>
        <v>29074.5825</v>
      </c>
      <c r="DW50" s="3">
        <f t="shared" si="235"/>
        <v>36972.046730000009</v>
      </c>
      <c r="DX50" s="3">
        <f t="shared" si="236"/>
        <v>46090.44</v>
      </c>
      <c r="DY50" s="51">
        <f t="shared" si="237"/>
        <v>29858.670000000006</v>
      </c>
      <c r="DZ50" s="3">
        <f t="shared" si="238"/>
        <v>38105.345430000001</v>
      </c>
      <c r="EA50" s="3">
        <f t="shared" si="239"/>
        <v>47504.114999999998</v>
      </c>
      <c r="EB50" s="51">
        <f t="shared" si="240"/>
        <v>30642.757500000003</v>
      </c>
      <c r="EC50" s="3">
        <f t="shared" si="241"/>
        <v>39238.644130000008</v>
      </c>
      <c r="ED50" s="3">
        <f t="shared" si="242"/>
        <v>48917.790000000008</v>
      </c>
      <c r="EE50" s="51">
        <f t="shared" si="243"/>
        <v>31426.845000000005</v>
      </c>
      <c r="EF50" s="3">
        <f t="shared" si="244"/>
        <v>40371.94283</v>
      </c>
      <c r="EG50" s="3">
        <f t="shared" si="245"/>
        <v>50331.465000000011</v>
      </c>
    </row>
    <row r="51" spans="1:137" ht="18.75" x14ac:dyDescent="0.25">
      <c r="A51" s="2" t="s">
        <v>215</v>
      </c>
      <c r="B51" s="2" t="s">
        <v>197</v>
      </c>
      <c r="C51" s="2">
        <f>I1</f>
        <v>16300</v>
      </c>
      <c r="D51" s="2">
        <v>1.5</v>
      </c>
      <c r="E51" s="2">
        <v>1.66</v>
      </c>
      <c r="F51" s="2">
        <v>1.89</v>
      </c>
      <c r="G51" s="4">
        <v>1</v>
      </c>
      <c r="H51" s="4">
        <v>1.1599999999999999</v>
      </c>
      <c r="I51" s="89">
        <v>1.39</v>
      </c>
      <c r="J51" s="93"/>
      <c r="K51" s="27"/>
      <c r="L51" s="94"/>
      <c r="M51" s="93"/>
      <c r="N51" s="27"/>
      <c r="O51" s="94"/>
      <c r="P51" s="93"/>
      <c r="Q51" s="27"/>
      <c r="R51" s="94"/>
      <c r="S51" s="93"/>
      <c r="T51" s="27"/>
      <c r="U51" s="94"/>
      <c r="V51" s="93"/>
      <c r="W51" s="27"/>
      <c r="X51" s="94"/>
      <c r="Y51" s="93"/>
      <c r="Z51" s="27"/>
      <c r="AA51" s="94"/>
      <c r="AB51" s="93"/>
      <c r="AC51" s="27"/>
      <c r="AD51" s="27"/>
      <c r="AE51" s="45"/>
      <c r="AF51" s="45"/>
      <c r="AG51" s="45"/>
      <c r="AH51" s="45"/>
      <c r="AI51" s="45"/>
      <c r="AJ51" s="45"/>
      <c r="AK51" s="45"/>
      <c r="AL51" s="45"/>
      <c r="AM51" s="45"/>
      <c r="AN51" s="45"/>
      <c r="AO51" s="45"/>
      <c r="AP51" s="45"/>
      <c r="AQ51" s="45"/>
      <c r="AR51" s="45"/>
      <c r="AS51" s="45"/>
      <c r="AT51" s="45"/>
      <c r="AU51" s="45"/>
      <c r="AV51" s="45"/>
      <c r="AW51" s="45"/>
      <c r="AX51" s="45"/>
      <c r="AY51" s="46"/>
      <c r="AZ51" s="44"/>
      <c r="BA51" s="45"/>
      <c r="BB51" s="45"/>
      <c r="BC51" s="45"/>
      <c r="BD51" s="45"/>
      <c r="BE51" s="45"/>
      <c r="BF51" s="45"/>
      <c r="BG51" s="45"/>
      <c r="BH51" s="45"/>
      <c r="BI51" s="45"/>
      <c r="BJ51" s="45"/>
      <c r="BK51" s="45"/>
      <c r="BL51" s="45"/>
      <c r="BM51" s="45"/>
      <c r="BN51" s="45"/>
      <c r="BO51" s="45"/>
      <c r="BP51" s="45"/>
      <c r="BQ51" s="45"/>
      <c r="BR51" s="45"/>
      <c r="BS51" s="45"/>
      <c r="BT51" s="46"/>
      <c r="BU51" s="44"/>
      <c r="BV51" s="45"/>
      <c r="BW51" s="45"/>
      <c r="BX51" s="45"/>
      <c r="BY51" s="45"/>
      <c r="BZ51" s="45"/>
      <c r="CA51" s="45"/>
      <c r="CB51" s="45"/>
      <c r="CC51" s="45"/>
      <c r="CD51" s="45"/>
      <c r="CE51" s="45"/>
      <c r="CF51" s="45"/>
      <c r="CG51" s="45"/>
      <c r="CH51" s="45"/>
      <c r="CI51" s="45"/>
      <c r="CJ51" s="45"/>
      <c r="CK51" s="45"/>
      <c r="CL51" s="45"/>
      <c r="CM51" s="45"/>
      <c r="CN51" s="45"/>
      <c r="CO51" s="46"/>
      <c r="CP51" s="34"/>
      <c r="CQ51" s="62"/>
      <c r="CR51" s="44"/>
      <c r="CS51" s="45"/>
      <c r="CT51" s="45"/>
      <c r="CU51" s="45"/>
      <c r="CV51" s="45"/>
      <c r="CW51" s="45"/>
      <c r="CX51" s="45"/>
      <c r="CY51" s="45"/>
      <c r="CZ51" s="45"/>
      <c r="DA51" s="45"/>
      <c r="DB51" s="45"/>
      <c r="DC51" s="45"/>
      <c r="DD51" s="45"/>
      <c r="DE51" s="45"/>
      <c r="DF51" s="45"/>
      <c r="DG51" s="45"/>
      <c r="DH51" s="45"/>
      <c r="DI51" s="45"/>
      <c r="DJ51" s="45"/>
      <c r="DK51" s="45"/>
      <c r="DL51" s="46"/>
      <c r="DM51" s="44"/>
      <c r="DN51" s="45"/>
      <c r="DO51" s="45"/>
      <c r="DP51" s="45"/>
      <c r="DQ51" s="45"/>
      <c r="DR51" s="45"/>
      <c r="DS51" s="45"/>
      <c r="DT51" s="45"/>
      <c r="DU51" s="45"/>
      <c r="DV51" s="45"/>
      <c r="DW51" s="45"/>
      <c r="DX51" s="45"/>
      <c r="DY51" s="45"/>
      <c r="DZ51" s="45"/>
      <c r="EA51" s="45"/>
      <c r="EB51" s="45"/>
      <c r="EC51" s="45"/>
      <c r="ED51" s="45"/>
      <c r="EE51" s="45"/>
      <c r="EF51" s="45"/>
      <c r="EG51" s="46"/>
    </row>
    <row r="52" spans="1:137" ht="18.75" x14ac:dyDescent="0.25">
      <c r="A52" s="2" t="s">
        <v>215</v>
      </c>
      <c r="B52" s="2" t="s">
        <v>200</v>
      </c>
      <c r="C52" s="2">
        <f>I1</f>
        <v>16300</v>
      </c>
      <c r="D52" s="2">
        <v>3</v>
      </c>
      <c r="E52" s="2">
        <v>3.36</v>
      </c>
      <c r="F52" s="2">
        <v>3.86</v>
      </c>
      <c r="G52" s="4">
        <v>2.2000000000000002</v>
      </c>
      <c r="H52" s="4">
        <v>2.56</v>
      </c>
      <c r="I52" s="89">
        <v>3.06</v>
      </c>
      <c r="J52" s="93"/>
      <c r="K52" s="27"/>
      <c r="L52" s="94"/>
      <c r="M52" s="93"/>
      <c r="N52" s="27"/>
      <c r="O52" s="94"/>
      <c r="P52" s="93"/>
      <c r="Q52" s="27"/>
      <c r="R52" s="94"/>
      <c r="S52" s="93"/>
      <c r="T52" s="27"/>
      <c r="U52" s="94"/>
      <c r="V52" s="93"/>
      <c r="W52" s="27"/>
      <c r="X52" s="94"/>
      <c r="Y52" s="93"/>
      <c r="Z52" s="27"/>
      <c r="AA52" s="94"/>
      <c r="AB52" s="93"/>
      <c r="AC52" s="27"/>
      <c r="AD52" s="27"/>
      <c r="AE52" s="45"/>
      <c r="AF52" s="45"/>
      <c r="AG52" s="45"/>
      <c r="AH52" s="45"/>
      <c r="AI52" s="45"/>
      <c r="AJ52" s="45"/>
      <c r="AK52" s="45"/>
      <c r="AL52" s="45"/>
      <c r="AM52" s="45"/>
      <c r="AN52" s="45"/>
      <c r="AO52" s="45"/>
      <c r="AP52" s="45"/>
      <c r="AQ52" s="45"/>
      <c r="AR52" s="45"/>
      <c r="AS52" s="45"/>
      <c r="AT52" s="45"/>
      <c r="AU52" s="45"/>
      <c r="AV52" s="45"/>
      <c r="AW52" s="45"/>
      <c r="AX52" s="45"/>
      <c r="AY52" s="46"/>
      <c r="AZ52" s="44"/>
      <c r="BA52" s="45"/>
      <c r="BB52" s="45"/>
      <c r="BC52" s="45"/>
      <c r="BD52" s="45"/>
      <c r="BE52" s="45"/>
      <c r="BF52" s="45"/>
      <c r="BG52" s="45"/>
      <c r="BH52" s="45"/>
      <c r="BI52" s="45"/>
      <c r="BJ52" s="45"/>
      <c r="BK52" s="45"/>
      <c r="BL52" s="45"/>
      <c r="BM52" s="45"/>
      <c r="BN52" s="45"/>
      <c r="BO52" s="45"/>
      <c r="BP52" s="45"/>
      <c r="BQ52" s="45"/>
      <c r="BR52" s="45"/>
      <c r="BS52" s="45"/>
      <c r="BT52" s="46"/>
      <c r="BU52" s="44"/>
      <c r="BV52" s="45"/>
      <c r="BW52" s="45"/>
      <c r="BX52" s="45"/>
      <c r="BY52" s="45"/>
      <c r="BZ52" s="45"/>
      <c r="CA52" s="45"/>
      <c r="CB52" s="45"/>
      <c r="CC52" s="45"/>
      <c r="CD52" s="45"/>
      <c r="CE52" s="45"/>
      <c r="CF52" s="45"/>
      <c r="CG52" s="45"/>
      <c r="CH52" s="45"/>
      <c r="CI52" s="45"/>
      <c r="CJ52" s="45"/>
      <c r="CK52" s="45"/>
      <c r="CL52" s="45"/>
      <c r="CM52" s="45"/>
      <c r="CN52" s="45"/>
      <c r="CO52" s="46"/>
      <c r="CP52" s="34"/>
      <c r="CQ52" s="62"/>
      <c r="CR52" s="44"/>
      <c r="CS52" s="45"/>
      <c r="CT52" s="45"/>
      <c r="CU52" s="45"/>
      <c r="CV52" s="45"/>
      <c r="CW52" s="45"/>
      <c r="CX52" s="45"/>
      <c r="CY52" s="45"/>
      <c r="CZ52" s="45"/>
      <c r="DA52" s="45"/>
      <c r="DB52" s="45"/>
      <c r="DC52" s="45"/>
      <c r="DD52" s="45"/>
      <c r="DE52" s="45"/>
      <c r="DF52" s="45"/>
      <c r="DG52" s="45"/>
      <c r="DH52" s="45"/>
      <c r="DI52" s="45"/>
      <c r="DJ52" s="45"/>
      <c r="DK52" s="45"/>
      <c r="DL52" s="46"/>
      <c r="DM52" s="44"/>
      <c r="DN52" s="45"/>
      <c r="DO52" s="45"/>
      <c r="DP52" s="45"/>
      <c r="DQ52" s="45"/>
      <c r="DR52" s="45"/>
      <c r="DS52" s="45"/>
      <c r="DT52" s="45"/>
      <c r="DU52" s="45"/>
      <c r="DV52" s="45"/>
      <c r="DW52" s="45"/>
      <c r="DX52" s="45"/>
      <c r="DY52" s="45"/>
      <c r="DZ52" s="45"/>
      <c r="EA52" s="45"/>
      <c r="EB52" s="45"/>
      <c r="EC52" s="45"/>
      <c r="ED52" s="45"/>
      <c r="EE52" s="45"/>
      <c r="EF52" s="45"/>
      <c r="EG52" s="46"/>
    </row>
    <row r="53" spans="1:137" ht="19.5" thickBot="1" x14ac:dyDescent="0.3">
      <c r="A53" s="2" t="s">
        <v>215</v>
      </c>
      <c r="B53" s="2" t="s">
        <v>203</v>
      </c>
      <c r="C53" s="2">
        <f>I1</f>
        <v>16300</v>
      </c>
      <c r="D53" s="2">
        <v>1.39</v>
      </c>
      <c r="E53" s="2">
        <v>1.53</v>
      </c>
      <c r="F53" s="2">
        <v>1.74</v>
      </c>
      <c r="G53" s="4">
        <v>0.89</v>
      </c>
      <c r="H53" s="4">
        <v>1.03</v>
      </c>
      <c r="I53" s="89">
        <v>1.24</v>
      </c>
      <c r="J53" s="103"/>
      <c r="K53" s="104"/>
      <c r="L53" s="105"/>
      <c r="M53" s="103"/>
      <c r="N53" s="104"/>
      <c r="O53" s="105"/>
      <c r="P53" s="103"/>
      <c r="Q53" s="104"/>
      <c r="R53" s="105"/>
      <c r="S53" s="103"/>
      <c r="T53" s="104"/>
      <c r="U53" s="105"/>
      <c r="V53" s="103"/>
      <c r="W53" s="104"/>
      <c r="X53" s="105"/>
      <c r="Y53" s="103"/>
      <c r="Z53" s="104"/>
      <c r="AA53" s="105"/>
      <c r="AB53" s="103"/>
      <c r="AC53" s="104"/>
      <c r="AD53" s="105"/>
      <c r="AE53" s="49"/>
      <c r="AF53" s="49"/>
      <c r="AG53" s="49"/>
      <c r="AH53" s="49"/>
      <c r="AI53" s="49"/>
      <c r="AJ53" s="49"/>
      <c r="AK53" s="49"/>
      <c r="AL53" s="49"/>
      <c r="AM53" s="49"/>
      <c r="AN53" s="49"/>
      <c r="AO53" s="49"/>
      <c r="AP53" s="49"/>
      <c r="AQ53" s="49"/>
      <c r="AR53" s="49"/>
      <c r="AS53" s="49"/>
      <c r="AT53" s="49"/>
      <c r="AU53" s="49"/>
      <c r="AV53" s="49"/>
      <c r="AW53" s="49"/>
      <c r="AX53" s="49"/>
      <c r="AY53" s="50"/>
      <c r="AZ53" s="48"/>
      <c r="BA53" s="49"/>
      <c r="BB53" s="49"/>
      <c r="BC53" s="49"/>
      <c r="BD53" s="49"/>
      <c r="BE53" s="49"/>
      <c r="BF53" s="49"/>
      <c r="BG53" s="49"/>
      <c r="BH53" s="49"/>
      <c r="BI53" s="49"/>
      <c r="BJ53" s="49"/>
      <c r="BK53" s="49"/>
      <c r="BL53" s="49"/>
      <c r="BM53" s="49"/>
      <c r="BN53" s="49"/>
      <c r="BO53" s="49"/>
      <c r="BP53" s="49"/>
      <c r="BQ53" s="49"/>
      <c r="BR53" s="49"/>
      <c r="BS53" s="49"/>
      <c r="BT53" s="50"/>
      <c r="BU53" s="48"/>
      <c r="BV53" s="49"/>
      <c r="BW53" s="49"/>
      <c r="BX53" s="49"/>
      <c r="BY53" s="49"/>
      <c r="BZ53" s="49"/>
      <c r="CA53" s="49"/>
      <c r="CB53" s="49"/>
      <c r="CC53" s="49"/>
      <c r="CD53" s="49"/>
      <c r="CE53" s="49"/>
      <c r="CF53" s="49"/>
      <c r="CG53" s="49"/>
      <c r="CH53" s="49"/>
      <c r="CI53" s="49"/>
      <c r="CJ53" s="49"/>
      <c r="CK53" s="49"/>
      <c r="CL53" s="49"/>
      <c r="CM53" s="49"/>
      <c r="CN53" s="49"/>
      <c r="CO53" s="50"/>
      <c r="CP53" s="34"/>
      <c r="CQ53" s="63"/>
      <c r="CR53" s="48"/>
      <c r="CS53" s="49"/>
      <c r="CT53" s="49"/>
      <c r="CU53" s="49"/>
      <c r="CV53" s="49"/>
      <c r="CW53" s="49"/>
      <c r="CX53" s="49"/>
      <c r="CY53" s="49"/>
      <c r="CZ53" s="49"/>
      <c r="DA53" s="49"/>
      <c r="DB53" s="49"/>
      <c r="DC53" s="49"/>
      <c r="DD53" s="49"/>
      <c r="DE53" s="49"/>
      <c r="DF53" s="49"/>
      <c r="DG53" s="49"/>
      <c r="DH53" s="49"/>
      <c r="DI53" s="49"/>
      <c r="DJ53" s="49"/>
      <c r="DK53" s="49"/>
      <c r="DL53" s="50"/>
      <c r="DM53" s="48"/>
      <c r="DN53" s="49"/>
      <c r="DO53" s="49"/>
      <c r="DP53" s="49"/>
      <c r="DQ53" s="49"/>
      <c r="DR53" s="49"/>
      <c r="DS53" s="49"/>
      <c r="DT53" s="49"/>
      <c r="DU53" s="49"/>
      <c r="DV53" s="49"/>
      <c r="DW53" s="49"/>
      <c r="DX53" s="49"/>
      <c r="DY53" s="49"/>
      <c r="DZ53" s="49"/>
      <c r="EA53" s="49"/>
      <c r="EB53" s="49"/>
      <c r="EC53" s="49"/>
      <c r="ED53" s="49"/>
      <c r="EE53" s="49"/>
      <c r="EF53" s="49"/>
      <c r="EG53" s="50"/>
    </row>
  </sheetData>
  <mergeCells count="53">
    <mergeCell ref="J1:AD1"/>
    <mergeCell ref="J2:L2"/>
    <mergeCell ref="M2:O2"/>
    <mergeCell ref="P2:R2"/>
    <mergeCell ref="S2:U2"/>
    <mergeCell ref="V2:X2"/>
    <mergeCell ref="Y2:AA2"/>
    <mergeCell ref="AB2:AD2"/>
    <mergeCell ref="AE1:AY1"/>
    <mergeCell ref="AZ1:BT1"/>
    <mergeCell ref="AZ2:BB2"/>
    <mergeCell ref="BC2:BE2"/>
    <mergeCell ref="BF2:BH2"/>
    <mergeCell ref="BI2:BK2"/>
    <mergeCell ref="BL2:BN2"/>
    <mergeCell ref="BO2:BQ2"/>
    <mergeCell ref="BR2:BT2"/>
    <mergeCell ref="AH2:AJ2"/>
    <mergeCell ref="AK2:AM2"/>
    <mergeCell ref="AN2:AP2"/>
    <mergeCell ref="AQ2:AS2"/>
    <mergeCell ref="AT2:AV2"/>
    <mergeCell ref="AW2:AY2"/>
    <mergeCell ref="AE2:AG2"/>
    <mergeCell ref="A2:A3"/>
    <mergeCell ref="B2:B3"/>
    <mergeCell ref="C2:C3"/>
    <mergeCell ref="D2:F2"/>
    <mergeCell ref="G2:I2"/>
    <mergeCell ref="BU1:CO1"/>
    <mergeCell ref="BU2:BW2"/>
    <mergeCell ref="BX2:BZ2"/>
    <mergeCell ref="CA2:CC2"/>
    <mergeCell ref="CD2:CF2"/>
    <mergeCell ref="CG2:CI2"/>
    <mergeCell ref="CJ2:CL2"/>
    <mergeCell ref="CM2:CO2"/>
    <mergeCell ref="CR1:DL1"/>
    <mergeCell ref="CR2:CT2"/>
    <mergeCell ref="CU2:CW2"/>
    <mergeCell ref="CX2:CZ2"/>
    <mergeCell ref="DA2:DC2"/>
    <mergeCell ref="DD2:DF2"/>
    <mergeCell ref="DG2:DI2"/>
    <mergeCell ref="DJ2:DL2"/>
    <mergeCell ref="DM1:EG1"/>
    <mergeCell ref="DM2:DO2"/>
    <mergeCell ref="DP2:DR2"/>
    <mergeCell ref="DS2:DU2"/>
    <mergeCell ref="DV2:DX2"/>
    <mergeCell ref="DY2:EA2"/>
    <mergeCell ref="EB2:ED2"/>
    <mergeCell ref="EE2:EG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2026-02-02T04:43:44Z</dcterms:created>
  <dcterms:modified xsi:type="dcterms:W3CDTF">2026-06-03T05:38:00Z</dcterms:modified>
</cp:coreProperties>
</file>